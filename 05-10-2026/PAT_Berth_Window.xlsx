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5 Oct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[$-409]dd-mmm-yyyy"/>
    <numFmt numFmtId="165" formatCode="[$-409]dd-mmm hh:mm"/>
    <numFmt numFmtId="166" formatCode="[$-409]dd-mmm-yyyy hh:mm"/>
    <numFmt numFmtId="167" formatCode="0.0"/>
  </numFmts>
  <fonts count="8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4" fontId="5" fillId="3" borderId="2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164" fontId="4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 wrapText="1"/>
    </xf>
    <xf numFmtId="164" fontId="5" fillId="0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0" fontId="4" fillId="0" borderId="0" pivotButton="0" quotePrefix="0" xfId="0"/>
    <xf numFmtId="166" fontId="7" fillId="0" borderId="0" applyAlignment="1" pivotButton="0" quotePrefix="0" xfId="0">
      <alignment horizontal="center" vertical="center"/>
    </xf>
    <xf numFmtId="167" fontId="5" fillId="0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left" vertical="center"/>
    </xf>
    <xf numFmtId="165" fontId="5" fillId="0" borderId="2" applyAlignment="1" pivotButton="0" quotePrefix="0" xfId="0">
      <alignment horizontal="center" vertical="center"/>
    </xf>
    <xf numFmtId="167" fontId="5" fillId="0" borderId="2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67" fontId="5" fillId="3" borderId="1" applyAlignment="1" pivotButton="0" quotePrefix="0" xfId="0">
      <alignment horizontal="center" vertical="center"/>
    </xf>
    <xf numFmtId="0" fontId="4" fillId="3" borderId="2" applyAlignment="1" pivotButton="0" quotePrefix="0" xfId="0">
      <alignment horizontal="left" vertical="center"/>
    </xf>
    <xf numFmtId="0" fontId="5" fillId="3" borderId="2" applyAlignment="1" pivotButton="0" quotePrefix="0" xfId="0">
      <alignment horizontal="left" vertical="center"/>
    </xf>
    <xf numFmtId="165" fontId="5" fillId="3" borderId="2" applyAlignment="1" pivotButton="0" quotePrefix="0" xfId="0">
      <alignment horizontal="center" vertical="center"/>
    </xf>
    <xf numFmtId="167" fontId="5" fillId="3" borderId="2" applyAlignment="1" pivotButton="0" quotePrefix="0" xfId="0">
      <alignment horizontal="center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  <xf numFmtId="165" fontId="5" fillId="0" borderId="1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6" customWidth="1" min="7" max="7"/>
    <col width="10" customWidth="1" min="8" max="8"/>
    <col width="10" customWidth="1" min="9" max="9"/>
  </cols>
  <sheetData>
    <row r="1">
      <c r="A1" s="1" t="inlineStr">
        <is>
          <t>PAT Berth Window — Vessel List by Berth — Sheet dated 05 Oct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Hours Alongside</t>
        </is>
      </c>
      <c r="H3" s="3" t="inlineStr">
        <is>
          <t>Shift</t>
        </is>
      </c>
      <c r="I3" s="3" t="inlineStr">
        <is>
          <t>Marked</t>
        </is>
      </c>
    </row>
    <row r="4">
      <c r="A4" s="5" t="inlineStr">
        <is>
          <t>20AB</t>
        </is>
      </c>
      <c r="B4" s="5" t="inlineStr">
        <is>
          <t>ZHONG GU BEI HAI</t>
        </is>
      </c>
      <c r="C4" s="23" t="n">
        <v>561</v>
      </c>
      <c r="D4" s="44" t="n">
        <v>46299.375</v>
      </c>
      <c r="E4" s="44" t="n">
        <v>46299.625</v>
      </c>
      <c r="F4" s="44" t="n">
        <v>46301.45833333334</v>
      </c>
      <c r="G4" s="28">
        <f>(F4-E4)*24</f>
        <v/>
      </c>
      <c r="H4" s="23" t="inlineStr">
        <is>
          <t>–</t>
        </is>
      </c>
      <c r="I4" s="23" t="inlineStr"/>
    </row>
    <row r="5">
      <c r="A5" s="5" t="inlineStr">
        <is>
          <t>20AB</t>
        </is>
      </c>
      <c r="B5" s="5" t="inlineStr">
        <is>
          <t>KMTC TOKYO</t>
        </is>
      </c>
      <c r="C5" s="23" t="n">
        <v>565</v>
      </c>
      <c r="D5" s="44" t="n">
        <v>46301.54166666666</v>
      </c>
      <c r="E5" s="44" t="n">
        <v>46301.54166666666</v>
      </c>
      <c r="F5" s="44" t="n">
        <v>46303.5</v>
      </c>
      <c r="G5" s="28">
        <f>(F5-E5)*24</f>
        <v/>
      </c>
      <c r="H5" s="23" t="inlineStr">
        <is>
          <t>–</t>
        </is>
      </c>
      <c r="I5" s="23" t="inlineStr"/>
    </row>
    <row r="6">
      <c r="A6" s="6" t="inlineStr">
        <is>
          <t>20AB</t>
        </is>
      </c>
      <c r="B6" s="6" t="inlineStr">
        <is>
          <t>GREEN PARK</t>
        </is>
      </c>
      <c r="C6" s="17" t="n">
        <v>482</v>
      </c>
      <c r="D6" s="45" t="n">
        <v>46302.45833333334</v>
      </c>
      <c r="E6" s="45" t="n">
        <v>46303.625</v>
      </c>
      <c r="F6" s="45" t="n">
        <v>46304.58333333334</v>
      </c>
      <c r="G6" s="34">
        <f>(F6-E6)*24</f>
        <v/>
      </c>
      <c r="H6" s="17" t="inlineStr">
        <is>
          <t>–</t>
        </is>
      </c>
      <c r="I6" s="17" t="inlineStr">
        <is>
          <t>Yes</t>
        </is>
      </c>
    </row>
    <row r="7">
      <c r="A7" s="5" t="inlineStr">
        <is>
          <t>20B</t>
        </is>
      </c>
      <c r="B7" s="5" t="inlineStr">
        <is>
          <t>YM IMPROVEMENT</t>
        </is>
      </c>
      <c r="C7" s="23" t="n">
        <v>564</v>
      </c>
      <c r="D7" s="44" t="n">
        <v>46298.95833333334</v>
      </c>
      <c r="E7" s="44" t="n">
        <v>46299.41666666666</v>
      </c>
      <c r="F7" s="44" t="n">
        <v>46300.5</v>
      </c>
      <c r="G7" s="28">
        <f>(F7-E7)*24</f>
        <v/>
      </c>
      <c r="H7" s="23" t="inlineStr">
        <is>
          <t>–</t>
        </is>
      </c>
      <c r="I7" s="23" t="inlineStr"/>
    </row>
    <row r="8">
      <c r="A8" s="5" t="inlineStr">
        <is>
          <t>20B</t>
        </is>
      </c>
      <c r="B8" s="5" t="inlineStr">
        <is>
          <t>SAWASDEE SPICA</t>
        </is>
      </c>
      <c r="C8" s="23" t="n">
        <v>564</v>
      </c>
      <c r="D8" s="44" t="n">
        <v>46300.875</v>
      </c>
      <c r="E8" s="44" t="n">
        <v>46301.54166666666</v>
      </c>
      <c r="F8" s="44" t="n">
        <v>46303.54166666666</v>
      </c>
      <c r="G8" s="28">
        <f>(F8-E8)*24</f>
        <v/>
      </c>
      <c r="H8" s="23" t="inlineStr">
        <is>
          <t>–</t>
        </is>
      </c>
      <c r="I8" s="23" t="inlineStr"/>
    </row>
    <row r="9">
      <c r="A9" s="5" t="inlineStr">
        <is>
          <t>20C</t>
        </is>
      </c>
      <c r="B9" s="5" t="inlineStr">
        <is>
          <t>SAWASDEE DENEB</t>
        </is>
      </c>
      <c r="C9" s="23" t="n">
        <v>564</v>
      </c>
      <c r="D9" s="44" t="n">
        <v>46300</v>
      </c>
      <c r="E9" s="44" t="n">
        <v>46300.5</v>
      </c>
      <c r="F9" s="44" t="n">
        <v>46302.5</v>
      </c>
      <c r="G9" s="28">
        <f>(F9-E9)*24</f>
        <v/>
      </c>
      <c r="H9" s="23" t="inlineStr">
        <is>
          <t>–</t>
        </is>
      </c>
      <c r="I9" s="23" t="inlineStr"/>
    </row>
    <row r="10">
      <c r="A10" s="5" t="inlineStr">
        <is>
          <t>20C</t>
        </is>
      </c>
      <c r="B10" s="5" t="inlineStr">
        <is>
          <t>SAWASDEE ATLANTIC</t>
        </is>
      </c>
      <c r="C10" s="23" t="n">
        <v>564</v>
      </c>
      <c r="D10" s="44" t="n">
        <v>46302.91666666666</v>
      </c>
      <c r="E10" s="44" t="n">
        <v>46303.625</v>
      </c>
      <c r="F10" s="44" t="n">
        <v>46305.54166666666</v>
      </c>
      <c r="G10" s="28">
        <f>(F10-E10)*24</f>
        <v/>
      </c>
      <c r="H10" s="23" t="inlineStr">
        <is>
          <t>–</t>
        </is>
      </c>
      <c r="I10" s="23" t="inlineStr"/>
    </row>
    <row r="11">
      <c r="A11" s="5" t="inlineStr">
        <is>
          <t>20D</t>
        </is>
      </c>
      <c r="B11" s="5" t="inlineStr">
        <is>
          <t>JOSCO LUCKY</t>
        </is>
      </c>
      <c r="C11" s="23" t="n">
        <v>564</v>
      </c>
      <c r="D11" s="44" t="n">
        <v>46301.75</v>
      </c>
      <c r="E11" s="44" t="n">
        <v>46301.75</v>
      </c>
      <c r="F11" s="44" t="n">
        <v>46302.625</v>
      </c>
      <c r="G11" s="28">
        <f>(F11-E11)*24</f>
        <v/>
      </c>
      <c r="H11" s="23" t="inlineStr">
        <is>
          <t>–</t>
        </is>
      </c>
      <c r="I11" s="23" t="inlineStr"/>
    </row>
    <row r="12">
      <c r="A12" s="6" t="inlineStr">
        <is>
          <t>20D</t>
        </is>
      </c>
      <c r="B12" s="6" t="inlineStr">
        <is>
          <t>MTT BANGKOK</t>
        </is>
      </c>
      <c r="C12" s="17" t="n">
        <v>564</v>
      </c>
      <c r="D12" s="45" t="n">
        <v>46302.625</v>
      </c>
      <c r="E12" s="45" t="n">
        <v>46302.70833333334</v>
      </c>
      <c r="F12" s="45" t="n">
        <v>46304.54166666666</v>
      </c>
      <c r="G12" s="34">
        <f>(F12-E12)*24</f>
        <v/>
      </c>
      <c r="H12" s="17" t="inlineStr">
        <is>
          <t>–</t>
        </is>
      </c>
      <c r="I12" s="17" t="inlineStr">
        <is>
          <t>Yes</t>
        </is>
      </c>
    </row>
    <row r="13">
      <c r="A13" s="5" t="inlineStr">
        <is>
          <t>20E</t>
        </is>
      </c>
      <c r="B13" s="5" t="inlineStr">
        <is>
          <t>WAN HAI 278</t>
        </is>
      </c>
      <c r="C13" s="23" t="n">
        <v>564</v>
      </c>
      <c r="D13" s="44" t="n">
        <v>46297.75</v>
      </c>
      <c r="E13" s="44" t="n">
        <v>46298.41666666666</v>
      </c>
      <c r="F13" s="44" t="n">
        <v>46300.45833333334</v>
      </c>
      <c r="G13" s="28">
        <f>(F13-E13)*24</f>
        <v/>
      </c>
      <c r="H13" s="23" t="inlineStr">
        <is>
          <t>–</t>
        </is>
      </c>
      <c r="I13" s="23" t="inlineStr"/>
    </row>
    <row r="14">
      <c r="A14" s="6" t="inlineStr">
        <is>
          <t>20F</t>
        </is>
      </c>
      <c r="B14" s="6" t="inlineStr">
        <is>
          <t>XIN AN</t>
        </is>
      </c>
      <c r="C14" s="17" t="n">
        <v>564</v>
      </c>
      <c r="D14" s="45" t="n">
        <v>46302.58333333334</v>
      </c>
      <c r="E14" s="45" t="n">
        <v>46302.70833333334</v>
      </c>
      <c r="F14" s="45" t="n">
        <v>46304.54166666666</v>
      </c>
      <c r="G14" s="34">
        <f>(F14-E14)*24</f>
        <v/>
      </c>
      <c r="H14" s="17" t="inlineStr">
        <is>
          <t>–</t>
        </is>
      </c>
      <c r="I14" s="17" t="inlineStr">
        <is>
          <t>Yes</t>
        </is>
      </c>
    </row>
    <row r="17">
      <c r="A17" s="39" t="inlineStr">
        <is>
          <t>Berth &amp; gate notices on this sheet</t>
        </is>
      </c>
    </row>
    <row r="18">
      <c r="A18" s="3" t="inlineStr">
        <is>
          <t>Berth / Gate</t>
        </is>
      </c>
      <c r="B18" s="3" t="inlineStr">
        <is>
          <t>Type</t>
        </is>
      </c>
      <c r="C18" s="3" t="n"/>
      <c r="D18" s="3" t="inlineStr">
        <is>
          <t>From</t>
        </is>
      </c>
      <c r="E18" s="3" t="inlineStr">
        <is>
          <t>To</t>
        </is>
      </c>
      <c r="F18" s="3" t="inlineStr">
        <is>
          <t>Notice / change vs previous sheet</t>
        </is>
      </c>
      <c r="G18" s="40" t="n"/>
      <c r="H18" s="40" t="n"/>
      <c r="I18" s="41" t="n"/>
    </row>
    <row r="19" ht="42" customHeight="1">
      <c r="A19" s="16" t="inlineStr">
        <is>
          <t>20C</t>
        </is>
      </c>
      <c r="B19" s="16" t="inlineStr">
        <is>
          <t>Berth closed</t>
        </is>
      </c>
      <c r="C19" s="43" t="n"/>
      <c r="D19" s="17" t="inlineStr">
        <is>
          <t>–</t>
        </is>
      </c>
      <c r="E19" s="17" t="inlineStr">
        <is>
          <t>–</t>
        </is>
      </c>
      <c r="F19" s="16" t="inlineStr">
        <is>
          <t>(no notice – wharf open)  —  Notice removed: 20C reopened on 5 Oct</t>
        </is>
      </c>
      <c r="G19" s="40" t="n"/>
      <c r="H19" s="40" t="n"/>
      <c r="I19" s="41" t="n"/>
    </row>
    <row r="20" ht="42" customHeight="1">
      <c r="A20" s="16" t="inlineStr">
        <is>
          <t>20D</t>
        </is>
      </c>
      <c r="B20" s="16" t="inlineStr">
        <is>
          <t>Berth closed</t>
        </is>
      </c>
      <c r="C20" s="43" t="n"/>
      <c r="D20" s="46" t="n">
        <v>46299</v>
      </c>
      <c r="E20" s="46" t="n">
        <v>46319</v>
      </c>
      <c r="F20" s="16" t="inlineStr">
        <is>
          <t>Close on 4–24 Oct 2026 to renovate electric channel (but JOSCO LUCKY and MTT BANGKOK are booked at 20D from 06/18)  —  Unchanged – conflicts with vessel bookings, please confirm</t>
        </is>
      </c>
      <c r="G20" s="40" t="n"/>
      <c r="H20" s="40" t="n"/>
      <c r="I20" s="41" t="n"/>
    </row>
    <row r="21" ht="42" customHeight="1">
      <c r="A21" s="9" t="inlineStr">
        <is>
          <t>20E / G.25</t>
        </is>
      </c>
      <c r="B21" s="9" t="inlineStr">
        <is>
          <t>Gate stopped</t>
        </is>
      </c>
      <c r="C21" s="42" t="n"/>
      <c r="D21" s="47" t="n">
        <v>46300</v>
      </c>
      <c r="E21" s="47" t="n">
        <v>46313</v>
      </c>
      <c r="F21" s="9" t="inlineStr">
        <is>
          <t>G.25 stops working 5–18 Oct 2026 to change trolley rail  —  Unchanged</t>
        </is>
      </c>
      <c r="G21" s="40" t="n"/>
      <c r="H21" s="40" t="n"/>
      <c r="I21" s="41" t="n"/>
    </row>
  </sheetData>
  <mergeCells count="4">
    <mergeCell ref="F19:I19"/>
    <mergeCell ref="F18:I18"/>
    <mergeCell ref="F21:I21"/>
    <mergeCell ref="F20:I2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2026-10-10T05:28:41Z</dcterms:created>
  <dcterms:modified xmlns:dcterms="http://purl.org/dc/terms/" xmlns:xsi="http://www.w3.org/2001/XMLSchema-instance" xsi:type="dcterms:W3CDTF">2026-10-10T05:28:42Z</dcterms:modified>
</cp:coreProperties>
</file>