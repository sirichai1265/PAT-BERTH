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 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i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8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0" fontId="7" fillId="0" borderId="0" pivotButton="0" quotePrefix="0" xfId="0"/>
    <xf numFmtId="165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30 Sep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SKY CHALLENGE</t>
        </is>
      </c>
      <c r="C4" s="23" t="n">
        <v>565</v>
      </c>
      <c r="D4" s="40" t="n">
        <v>46294.33333333334</v>
      </c>
      <c r="E4" s="40" t="n">
        <v>46294.66666666666</v>
      </c>
      <c r="F4" s="40" t="n">
        <v>46296.16666666666</v>
      </c>
      <c r="G4" s="24">
        <f>(E4-D4)*24</f>
        <v/>
      </c>
      <c r="H4" s="24">
        <f>(F4-E4)*24</f>
        <v/>
      </c>
      <c r="I4" s="23" t="inlineStr">
        <is>
          <t>–</t>
        </is>
      </c>
      <c r="J4" s="23" t="inlineStr"/>
    </row>
    <row r="5">
      <c r="A5" s="5" t="inlineStr">
        <is>
          <t>20AB</t>
        </is>
      </c>
      <c r="B5" s="5" t="inlineStr">
        <is>
          <t>CAPE FAWLEY</t>
        </is>
      </c>
      <c r="C5" s="23" t="n">
        <v>558</v>
      </c>
      <c r="D5" s="40" t="n">
        <v>46295.875</v>
      </c>
      <c r="E5" s="40" t="n">
        <v>46296.25</v>
      </c>
      <c r="F5" s="40" t="n">
        <v>46297.25</v>
      </c>
      <c r="G5" s="24">
        <f>(E5-D5)*24</f>
        <v/>
      </c>
      <c r="H5" s="24">
        <f>(F5-E5)*24</f>
        <v/>
      </c>
      <c r="I5" s="23" t="inlineStr">
        <is>
          <t>–</t>
        </is>
      </c>
      <c r="J5" s="23" t="inlineStr"/>
    </row>
    <row r="6">
      <c r="A6" s="5" t="inlineStr">
        <is>
          <t>20AB</t>
        </is>
      </c>
      <c r="B6" s="5" t="inlineStr">
        <is>
          <t>KMTC BANGKOK</t>
        </is>
      </c>
      <c r="C6" s="23" t="n">
        <v>565</v>
      </c>
      <c r="D6" s="40" t="n">
        <v>46297.25</v>
      </c>
      <c r="E6" s="40" t="n">
        <v>46297.33333333334</v>
      </c>
      <c r="F6" s="40" t="n">
        <v>46298.70833333334</v>
      </c>
      <c r="G6" s="24">
        <f>(E6-D6)*24</f>
        <v/>
      </c>
      <c r="H6" s="24">
        <f>(F6-E6)*24</f>
        <v/>
      </c>
      <c r="I6" s="23" t="inlineStr">
        <is>
          <t>–</t>
        </is>
      </c>
      <c r="J6" s="23" t="inlineStr"/>
    </row>
    <row r="7">
      <c r="A7" s="5" t="inlineStr">
        <is>
          <t>20B</t>
        </is>
      </c>
      <c r="B7" s="5" t="inlineStr">
        <is>
          <t>M ODYSSEY</t>
        </is>
      </c>
      <c r="C7" s="23" t="n">
        <v>449</v>
      </c>
      <c r="D7" s="40" t="n">
        <v>46295.16666666666</v>
      </c>
      <c r="E7" s="40" t="n">
        <v>46295.20833333334</v>
      </c>
      <c r="F7" s="40" t="n">
        <v>46296.20833333334</v>
      </c>
      <c r="G7" s="24">
        <f>(E7-D7)*24</f>
        <v/>
      </c>
      <c r="H7" s="24">
        <f>(F7-E7)*24</f>
        <v/>
      </c>
      <c r="I7" s="23" t="inlineStr">
        <is>
          <t>4A</t>
        </is>
      </c>
      <c r="J7" s="23" t="inlineStr"/>
    </row>
    <row r="8">
      <c r="A8" s="6" t="inlineStr">
        <is>
          <t>20B</t>
        </is>
      </c>
      <c r="B8" s="6" t="inlineStr">
        <is>
          <t>KHARIS HERITAGE</t>
        </is>
      </c>
      <c r="C8" s="17" t="n">
        <v>482</v>
      </c>
      <c r="D8" s="41" t="n">
        <v>46296.45833333334</v>
      </c>
      <c r="E8" s="41" t="n">
        <v>46296.70833333334</v>
      </c>
      <c r="F8" s="41" t="n">
        <v>46297.70833333334</v>
      </c>
      <c r="G8" s="26">
        <f>(E8-D8)*24</f>
        <v/>
      </c>
      <c r="H8" s="26">
        <f>(F8-E8)*24</f>
        <v/>
      </c>
      <c r="I8" s="17" t="inlineStr">
        <is>
          <t>–</t>
        </is>
      </c>
      <c r="J8" s="17" t="inlineStr">
        <is>
          <t>Yes</t>
        </is>
      </c>
    </row>
    <row r="9">
      <c r="A9" s="6" t="inlineStr">
        <is>
          <t>20D</t>
        </is>
      </c>
      <c r="B9" s="6" t="inlineStr">
        <is>
          <t>ALS SUMIRE</t>
        </is>
      </c>
      <c r="C9" s="17" t="n">
        <v>537</v>
      </c>
      <c r="D9" s="41" t="n">
        <v>46296.70833333334</v>
      </c>
      <c r="E9" s="41" t="n">
        <v>46296.70833333334</v>
      </c>
      <c r="F9" s="41" t="n">
        <v>46297.70833333334</v>
      </c>
      <c r="G9" s="26">
        <f>(E9-D9)*24</f>
        <v/>
      </c>
      <c r="H9" s="26">
        <f>(F9-E9)*24</f>
        <v/>
      </c>
      <c r="I9" s="17" t="inlineStr">
        <is>
          <t>1C</t>
        </is>
      </c>
      <c r="J9" s="17" t="inlineStr">
        <is>
          <t>Yes</t>
        </is>
      </c>
    </row>
    <row r="10">
      <c r="A10" s="5" t="inlineStr">
        <is>
          <t>20E</t>
        </is>
      </c>
      <c r="B10" s="5" t="inlineStr">
        <is>
          <t>MITRA BHUM</t>
        </is>
      </c>
      <c r="C10" s="23" t="n">
        <v>485</v>
      </c>
      <c r="D10" s="40" t="n">
        <v>46295.125</v>
      </c>
      <c r="E10" s="40" t="n">
        <v>46295.20833333334</v>
      </c>
      <c r="F10" s="40" t="n">
        <v>46295.75</v>
      </c>
      <c r="G10" s="24">
        <f>(E10-D10)*24</f>
        <v/>
      </c>
      <c r="H10" s="24">
        <f>(F10-E10)*24</f>
        <v/>
      </c>
      <c r="I10" s="23" t="inlineStr">
        <is>
          <t>–</t>
        </is>
      </c>
      <c r="J10" s="23" t="inlineStr"/>
    </row>
    <row r="11">
      <c r="A11" s="5" t="inlineStr">
        <is>
          <t>20F</t>
        </is>
      </c>
      <c r="B11" s="5" t="inlineStr">
        <is>
          <t>HOPE C</t>
        </is>
      </c>
      <c r="C11" s="23" t="n">
        <v>481</v>
      </c>
      <c r="D11" s="40" t="n">
        <v>46294.70833333334</v>
      </c>
      <c r="E11" s="40" t="n">
        <v>46294.70833333334</v>
      </c>
      <c r="F11" s="40" t="n">
        <v>46295.66666666666</v>
      </c>
      <c r="G11" s="24">
        <f>(E11-D11)*24</f>
        <v/>
      </c>
      <c r="H11" s="24">
        <f>(F11-E11)*24</f>
        <v/>
      </c>
      <c r="I11" s="23" t="inlineStr">
        <is>
          <t>–</t>
        </is>
      </c>
      <c r="J11" s="23" t="inlineStr"/>
    </row>
    <row r="12">
      <c r="A12" s="5" t="inlineStr">
        <is>
          <t>20F</t>
        </is>
      </c>
      <c r="B12" s="5" t="inlineStr">
        <is>
          <t>WAN HAI 278</t>
        </is>
      </c>
      <c r="C12" s="23" t="n">
        <v>564</v>
      </c>
      <c r="D12" s="40" t="n">
        <v>46297.375</v>
      </c>
      <c r="E12" s="40" t="n">
        <v>46297.375</v>
      </c>
      <c r="F12" s="40" t="n">
        <v>46299.41666666666</v>
      </c>
      <c r="G12" s="24">
        <f>(E12-D12)*24</f>
        <v/>
      </c>
      <c r="H12" s="24">
        <f>(F12-E12)*24</f>
        <v/>
      </c>
      <c r="I12" s="23" t="inlineStr">
        <is>
          <t>–</t>
        </is>
      </c>
      <c r="J12" s="23" t="inlineStr"/>
    </row>
    <row r="15">
      <c r="A15" s="34" t="inlineStr">
        <is>
          <t>Berth &amp; gate notices on this sheet</t>
        </is>
      </c>
    </row>
    <row r="16">
      <c r="A16" s="3" t="inlineStr">
        <is>
          <t>Berth / Gate</t>
        </is>
      </c>
      <c r="B16" s="3" t="inlineStr">
        <is>
          <t>Type</t>
        </is>
      </c>
      <c r="C16" s="3" t="n"/>
      <c r="D16" s="3" t="inlineStr">
        <is>
          <t>From</t>
        </is>
      </c>
      <c r="E16" s="3" t="inlineStr">
        <is>
          <t>To</t>
        </is>
      </c>
      <c r="F16" s="3" t="inlineStr">
        <is>
          <t>Notice / change vs previous sheet</t>
        </is>
      </c>
      <c r="G16" s="35" t="n"/>
      <c r="H16" s="35" t="n"/>
      <c r="I16" s="35" t="n"/>
      <c r="J16" s="36" t="n"/>
    </row>
    <row r="17" ht="42" customHeight="1">
      <c r="A17" s="16" t="inlineStr">
        <is>
          <t>20AB / G.29</t>
        </is>
      </c>
      <c r="B17" s="16" t="inlineStr">
        <is>
          <t>Gate stopped</t>
        </is>
      </c>
      <c r="C17" s="38" t="n"/>
      <c r="D17" s="42" t="n">
        <v>46294</v>
      </c>
      <c r="E17" s="42" t="n">
        <v>46295</v>
      </c>
      <c r="F17" s="16" t="inlineStr">
        <is>
          <t>G.29 stops working 29–30 Sep 2026 to repair spreader  —  Unchanged</t>
        </is>
      </c>
      <c r="G17" s="35" t="n"/>
      <c r="H17" s="35" t="n"/>
      <c r="I17" s="35" t="n"/>
      <c r="J17" s="36" t="n"/>
    </row>
    <row r="18" ht="42" customHeight="1">
      <c r="A18" s="16" t="inlineStr">
        <is>
          <t>20C</t>
        </is>
      </c>
      <c r="B18" s="16" t="inlineStr">
        <is>
          <t>Berth closed</t>
        </is>
      </c>
      <c r="C18" s="38" t="n"/>
      <c r="D18" s="17" t="inlineStr">
        <is>
          <t>–</t>
        </is>
      </c>
      <c r="E18" s="42" t="n">
        <v>46298</v>
      </c>
      <c r="F18" s="16" t="inlineStr">
        <is>
          <t>Wharf will be utilised on 3 Oct 2026  —  Slipped: reopening 1 Oct → 3 Oct</t>
        </is>
      </c>
      <c r="G18" s="35" t="n"/>
      <c r="H18" s="35" t="n"/>
      <c r="I18" s="35" t="n"/>
      <c r="J18" s="36" t="n"/>
    </row>
    <row r="19" ht="42" customHeight="1">
      <c r="A19" s="16" t="inlineStr">
        <is>
          <t>20D</t>
        </is>
      </c>
      <c r="B19" s="16" t="inlineStr">
        <is>
          <t>Berth closed</t>
        </is>
      </c>
      <c r="C19" s="38" t="n"/>
      <c r="D19" s="42" t="n">
        <v>46298</v>
      </c>
      <c r="E19" s="42" t="n">
        <v>46319</v>
      </c>
      <c r="F19" s="16" t="inlineStr">
        <is>
          <t>Close on 3–24 Oct 2026 to renovate electric channel  —  Slipped: 1–21 Oct → 3–24 Oct</t>
        </is>
      </c>
      <c r="G19" s="35" t="n"/>
      <c r="H19" s="35" t="n"/>
      <c r="I19" s="35" t="n"/>
      <c r="J19" s="36" t="n"/>
    </row>
    <row r="20" ht="42" customHeight="1">
      <c r="A20" s="16" t="inlineStr">
        <is>
          <t>20E / G.25</t>
        </is>
      </c>
      <c r="B20" s="16" t="inlineStr">
        <is>
          <t>Gate stopped</t>
        </is>
      </c>
      <c r="C20" s="38" t="n"/>
      <c r="D20" s="42" t="n">
        <v>46298</v>
      </c>
      <c r="E20" s="42" t="n">
        <v>46313</v>
      </c>
      <c r="F20" s="16" t="inlineStr">
        <is>
          <t>G.25 stops working 3–18 Oct 2026 to change trolley rail  —  Slipped: 1–15 Oct → 3–18 Oct</t>
        </is>
      </c>
      <c r="G20" s="35" t="n"/>
      <c r="H20" s="35" t="n"/>
      <c r="I20" s="35" t="n"/>
      <c r="J20" s="36" t="n"/>
    </row>
  </sheetData>
  <mergeCells count="5">
    <mergeCell ref="F17:J17"/>
    <mergeCell ref="F20:J20"/>
    <mergeCell ref="F16:J16"/>
    <mergeCell ref="F19:J19"/>
    <mergeCell ref="F18:J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2026-10-22T03:10:23Z</dcterms:created>
  <dcterms:modified xmlns:dcterms="http://purl.org/dc/terms/" xmlns:xsi="http://www.w3.org/2001/XMLSchema-instance" xsi:type="dcterms:W3CDTF">2026-10-22T03:10:26Z</dcterms:modified>
</cp:coreProperties>
</file>