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39" t="n">
        <v>46294.33333333334</v>
      </c>
      <c r="E4" s="39" t="n">
        <v>46294.66666666666</v>
      </c>
      <c r="F4" s="39" t="n">
        <v>46296.16666666666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39" t="n">
        <v>46295.875</v>
      </c>
      <c r="E5" s="39" t="n">
        <v>46296.25</v>
      </c>
      <c r="F5" s="39" t="n">
        <v>46297.25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39" t="n">
        <v>46297.25</v>
      </c>
      <c r="E6" s="39" t="n">
        <v>46297.33333333334</v>
      </c>
      <c r="F6" s="39" t="n">
        <v>46298.70833333334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39" t="n">
        <v>46295.16666666666</v>
      </c>
      <c r="E7" s="39" t="n">
        <v>46295.20833333334</v>
      </c>
      <c r="F7" s="39" t="n">
        <v>46296.20833333334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0" t="n">
        <v>46296.45833333334</v>
      </c>
      <c r="E8" s="40" t="n">
        <v>46296.70833333334</v>
      </c>
      <c r="F8" s="40" t="n">
        <v>46297.70833333334</v>
      </c>
      <c r="G8" s="32">
        <f>(E8-D8)*24</f>
        <v/>
      </c>
      <c r="H8" s="32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0" t="n">
        <v>46296.70833333334</v>
      </c>
      <c r="E9" s="40" t="n">
        <v>46296.70833333334</v>
      </c>
      <c r="F9" s="40" t="n">
        <v>46297.70833333334</v>
      </c>
      <c r="G9" s="32">
        <f>(E9-D9)*24</f>
        <v/>
      </c>
      <c r="H9" s="32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39" t="n">
        <v>46295.125</v>
      </c>
      <c r="E10" s="39" t="n">
        <v>46295.20833333334</v>
      </c>
      <c r="F10" s="39" t="n">
        <v>46295.75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39" t="n">
        <v>46294.70833333334</v>
      </c>
      <c r="E11" s="39" t="n">
        <v>46294.70833333334</v>
      </c>
      <c r="F11" s="39" t="n">
        <v>46295.66666666666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39" t="n">
        <v>46297.375</v>
      </c>
      <c r="E12" s="39" t="n">
        <v>46297.375</v>
      </c>
      <c r="F12" s="39" t="n">
        <v>46299.41666666666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20AB / G.29</t>
        </is>
      </c>
      <c r="B17" s="16" t="inlineStr">
        <is>
          <t>Gate stopped</t>
        </is>
      </c>
      <c r="C17" s="38" t="n"/>
      <c r="D17" s="41" t="n">
        <v>46294</v>
      </c>
      <c r="E17" s="41" t="n">
        <v>46295</v>
      </c>
      <c r="F17" s="16" t="inlineStr">
        <is>
          <t>G.29 stops working 29–30 Sep 2026 to repair spreader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8" t="n"/>
      <c r="D18" s="17" t="inlineStr">
        <is>
          <t>–</t>
        </is>
      </c>
      <c r="E18" s="41" t="n">
        <v>46298</v>
      </c>
      <c r="F18" s="16" t="inlineStr">
        <is>
          <t>Wharf will be utilised on 3 Oct 2026  —  Slipped: reopening 1 Oct → 3 Oct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8" t="n"/>
      <c r="D19" s="41" t="n">
        <v>46298</v>
      </c>
      <c r="E19" s="41" t="n">
        <v>46319</v>
      </c>
      <c r="F19" s="16" t="inlineStr">
        <is>
          <t>Close on 3–24 Oct 2026 to renovate electric channel  —  Slipped: 1–21 Oct → 3–24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8" t="n"/>
      <c r="D20" s="41" t="n">
        <v>46298</v>
      </c>
      <c r="E20" s="41" t="n">
        <v>46313</v>
      </c>
      <c r="F20" s="16" t="inlineStr">
        <is>
          <t>G.25 stops working 3–18 Oct 2026 to change trolley rail  —  Slipped: 1–15 Oct → 3–18 Oct</t>
        </is>
      </c>
      <c r="G20" s="35" t="n"/>
      <c r="H20" s="35" t="n"/>
      <c r="I20" s="35" t="n"/>
      <c r="J20" s="36" t="n"/>
    </row>
  </sheetData>
  <mergeCells count="5">
    <mergeCell ref="F17:J17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2026-10-15T03:10:10Z</dcterms:modified>
</cp:coreProperties>
</file>