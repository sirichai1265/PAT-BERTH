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11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CNC MARS</t>
        </is>
      </c>
      <c r="C4" s="23" t="n">
        <v>564</v>
      </c>
      <c r="D4" s="44" t="n">
        <v>46304.91666666666</v>
      </c>
      <c r="E4" s="44" t="n">
        <v>46305.625</v>
      </c>
      <c r="F4" s="44" t="n">
        <v>46306.625</v>
      </c>
      <c r="G4" s="28">
        <f>(E4-D4)*24</f>
        <v/>
      </c>
      <c r="H4" s="28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SAMAL</t>
        </is>
      </c>
      <c r="C5" s="23" t="n">
        <v>564</v>
      </c>
      <c r="D5" s="44" t="n">
        <v>46307.375</v>
      </c>
      <c r="E5" s="44" t="n">
        <v>46307.66666666666</v>
      </c>
      <c r="F5" s="44" t="n">
        <v>46309.20833333334</v>
      </c>
      <c r="G5" s="28">
        <f>(E5-D5)*24</f>
        <v/>
      </c>
      <c r="H5" s="28">
        <f>(F5-E5)*24</f>
        <v/>
      </c>
      <c r="I5" s="23" t="inlineStr">
        <is>
          <t>–</t>
        </is>
      </c>
      <c r="J5" s="23" t="inlineStr"/>
    </row>
    <row r="6">
      <c r="A6" s="6" t="inlineStr">
        <is>
          <t>20AB</t>
        </is>
      </c>
      <c r="B6" s="6" t="inlineStr">
        <is>
          <t>CEBU</t>
        </is>
      </c>
      <c r="C6" s="17" t="n">
        <v>564</v>
      </c>
      <c r="D6" s="45" t="n">
        <v>46308</v>
      </c>
      <c r="E6" s="45" t="n">
        <v>46309.25</v>
      </c>
      <c r="F6" s="45" t="n">
        <v>46310.66666666666</v>
      </c>
      <c r="G6" s="34">
        <f>(E6-D6)*24</f>
        <v/>
      </c>
      <c r="H6" s="34">
        <f>(F6-E6)*24</f>
        <v/>
      </c>
      <c r="I6" s="17" t="inlineStr">
        <is>
          <t>–</t>
        </is>
      </c>
      <c r="J6" s="17" t="inlineStr">
        <is>
          <t>Yes</t>
        </is>
      </c>
    </row>
    <row r="7">
      <c r="A7" s="5" t="inlineStr">
        <is>
          <t>20B</t>
        </is>
      </c>
      <c r="B7" s="5" t="inlineStr">
        <is>
          <t>XIN MING ZHOU 102</t>
        </is>
      </c>
      <c r="C7" s="23" t="n">
        <v>564</v>
      </c>
      <c r="D7" s="44" t="n">
        <v>46305.875</v>
      </c>
      <c r="E7" s="44" t="n">
        <v>46306.20833333334</v>
      </c>
      <c r="F7" s="44" t="n">
        <v>46307.08333333334</v>
      </c>
      <c r="G7" s="28">
        <f>(E7-D7)*24</f>
        <v/>
      </c>
      <c r="H7" s="28">
        <f>(F7-E7)*24</f>
        <v/>
      </c>
      <c r="I7" s="23" t="inlineStr">
        <is>
          <t>–</t>
        </is>
      </c>
      <c r="J7" s="23" t="inlineStr"/>
    </row>
    <row r="8">
      <c r="A8" s="6" t="inlineStr">
        <is>
          <t>20B</t>
        </is>
      </c>
      <c r="B8" s="6" t="inlineStr">
        <is>
          <t>WAN HAI 277</t>
        </is>
      </c>
      <c r="C8" s="17" t="n">
        <v>564</v>
      </c>
      <c r="D8" s="45" t="n">
        <v>46307.95833333334</v>
      </c>
      <c r="E8" s="45" t="n">
        <v>46308.25</v>
      </c>
      <c r="F8" s="45" t="n">
        <v>46309.625</v>
      </c>
      <c r="G8" s="34">
        <f>(E8-D8)*24</f>
        <v/>
      </c>
      <c r="H8" s="34">
        <f>(F8-E8)*24</f>
        <v/>
      </c>
      <c r="I8" s="17" t="inlineStr">
        <is>
          <t>–</t>
        </is>
      </c>
      <c r="J8" s="17" t="inlineStr">
        <is>
          <t>Yes</t>
        </is>
      </c>
    </row>
    <row r="9">
      <c r="A9" s="5" t="inlineStr">
        <is>
          <t>20C</t>
        </is>
      </c>
      <c r="B9" s="5" t="inlineStr">
        <is>
          <t>STARSHIP AQUILA</t>
        </is>
      </c>
      <c r="C9" s="23" t="n">
        <v>565</v>
      </c>
      <c r="D9" s="44" t="n">
        <v>46304.91666666666</v>
      </c>
      <c r="E9" s="44" t="n">
        <v>46305.58333333334</v>
      </c>
      <c r="F9" s="44" t="n">
        <v>46307.08333333334</v>
      </c>
      <c r="G9" s="28">
        <f>(E9-D9)*24</f>
        <v/>
      </c>
      <c r="H9" s="28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KMTC TAIPEIS</t>
        </is>
      </c>
      <c r="C10" s="23" t="n">
        <v>565</v>
      </c>
      <c r="D10" s="44" t="n">
        <v>46308.04166666666</v>
      </c>
      <c r="E10" s="44" t="n">
        <v>46308.20833333334</v>
      </c>
      <c r="F10" s="44" t="n">
        <v>46309.625</v>
      </c>
      <c r="G10" s="28">
        <f>(E10-D10)*24</f>
        <v/>
      </c>
      <c r="H10" s="28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20D</t>
        </is>
      </c>
      <c r="B11" s="5" t="inlineStr">
        <is>
          <t>INCEDA</t>
        </is>
      </c>
      <c r="C11" s="23" t="n">
        <v>564</v>
      </c>
      <c r="D11" s="44" t="n">
        <v>46305.70833333334</v>
      </c>
      <c r="E11" s="44" t="n">
        <v>46306.25</v>
      </c>
      <c r="F11" s="44" t="n">
        <v>46307.58333333334</v>
      </c>
      <c r="G11" s="28">
        <f>(E11-D11)*24</f>
        <v/>
      </c>
      <c r="H11" s="28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SAWASDEE SUNRISE</t>
        </is>
      </c>
      <c r="C12" s="23" t="n">
        <v>564</v>
      </c>
      <c r="D12" s="44" t="n">
        <v>46307.375</v>
      </c>
      <c r="E12" s="44" t="n">
        <v>46307.66666666666</v>
      </c>
      <c r="F12" s="44" t="n">
        <v>46309.20833333334</v>
      </c>
      <c r="G12" s="28">
        <f>(E12-D12)*24</f>
        <v/>
      </c>
      <c r="H12" s="28">
        <f>(F12-E12)*24</f>
        <v/>
      </c>
      <c r="I12" s="23" t="inlineStr">
        <is>
          <t>–</t>
        </is>
      </c>
      <c r="J12" s="23" t="inlineStr"/>
    </row>
    <row r="13">
      <c r="A13" s="6" t="inlineStr">
        <is>
          <t>20D</t>
        </is>
      </c>
      <c r="B13" s="6" t="inlineStr">
        <is>
          <t>KHUNA BHUM</t>
        </is>
      </c>
      <c r="C13" s="17" t="n">
        <v>564</v>
      </c>
      <c r="D13" s="45" t="n">
        <v>46308.29166666666</v>
      </c>
      <c r="E13" s="45" t="n">
        <v>46309.20833333334</v>
      </c>
      <c r="F13" s="45" t="n">
        <v>46309.91666666666</v>
      </c>
      <c r="G13" s="34">
        <f>(E13-D13)*24</f>
        <v/>
      </c>
      <c r="H13" s="34">
        <f>(F13-E13)*24</f>
        <v/>
      </c>
      <c r="I13" s="17" t="inlineStr">
        <is>
          <t>7B</t>
        </is>
      </c>
      <c r="J13" s="17" t="inlineStr">
        <is>
          <t>Yes</t>
        </is>
      </c>
    </row>
    <row r="14">
      <c r="A14" s="5" t="inlineStr">
        <is>
          <t>20F</t>
        </is>
      </c>
      <c r="B14" s="5" t="inlineStr">
        <is>
          <t>SAWASDEE ATLANTIC</t>
        </is>
      </c>
      <c r="C14" s="23" t="n">
        <v>564</v>
      </c>
      <c r="D14" s="44" t="n">
        <v>46302.83333333334</v>
      </c>
      <c r="E14" s="44" t="n">
        <v>46304.625</v>
      </c>
      <c r="F14" s="44" t="n">
        <v>46306.5</v>
      </c>
      <c r="G14" s="28">
        <f>(E14-D14)*24</f>
        <v/>
      </c>
      <c r="H14" s="28">
        <f>(F14-E14)*24</f>
        <v/>
      </c>
      <c r="I14" s="23" t="inlineStr">
        <is>
          <t>–</t>
        </is>
      </c>
      <c r="J14" s="23" t="inlineStr"/>
    </row>
    <row r="15">
      <c r="A15" s="6" t="inlineStr">
        <is>
          <t>20F</t>
        </is>
      </c>
      <c r="B15" s="6" t="inlineStr">
        <is>
          <t>JOSCO SHINE</t>
        </is>
      </c>
      <c r="C15" s="17" t="n">
        <v>564</v>
      </c>
      <c r="D15" s="45" t="n">
        <v>46307.375</v>
      </c>
      <c r="E15" s="45" t="n">
        <v>46307.625</v>
      </c>
      <c r="F15" s="45" t="n">
        <v>46308.25</v>
      </c>
      <c r="G15" s="34">
        <f>(E15-D15)*24</f>
        <v/>
      </c>
      <c r="H15" s="34">
        <f>(F15-E15)*24</f>
        <v/>
      </c>
      <c r="I15" s="17" t="inlineStr">
        <is>
          <t>–</t>
        </is>
      </c>
      <c r="J15" s="17" t="inlineStr">
        <is>
          <t>Yes</t>
        </is>
      </c>
    </row>
    <row r="16">
      <c r="A16" s="5" t="inlineStr">
        <is>
          <t>20F</t>
        </is>
      </c>
      <c r="B16" s="5" t="inlineStr">
        <is>
          <t>ALS SUMIRE</t>
        </is>
      </c>
      <c r="C16" s="23" t="n">
        <v>537</v>
      </c>
      <c r="D16" s="44" t="n">
        <v>46307.91666666666</v>
      </c>
      <c r="E16" s="44" t="n">
        <v>46308.25</v>
      </c>
      <c r="F16" s="44" t="n">
        <v>46309.25</v>
      </c>
      <c r="G16" s="28">
        <f>(E16-D16)*24</f>
        <v/>
      </c>
      <c r="H16" s="28">
        <f>(F16-E16)*24</f>
        <v/>
      </c>
      <c r="I16" s="23" t="inlineStr">
        <is>
          <t>1C</t>
        </is>
      </c>
      <c r="J16" s="23" t="inlineStr"/>
    </row>
    <row r="19">
      <c r="A19" s="39" t="inlineStr">
        <is>
          <t>Berth &amp; gate notices on this sheet</t>
        </is>
      </c>
    </row>
    <row r="20">
      <c r="A20" s="3" t="inlineStr">
        <is>
          <t>Berth / Gate</t>
        </is>
      </c>
      <c r="B20" s="3" t="inlineStr">
        <is>
          <t>Type</t>
        </is>
      </c>
      <c r="C20" s="3" t="n"/>
      <c r="D20" s="3" t="inlineStr">
        <is>
          <t>From</t>
        </is>
      </c>
      <c r="E20" s="3" t="inlineStr">
        <is>
          <t>To</t>
        </is>
      </c>
      <c r="F20" s="3" t="inlineStr">
        <is>
          <t>Notice / change vs previous sheet</t>
        </is>
      </c>
      <c r="G20" s="40" t="n"/>
      <c r="H20" s="40" t="n"/>
      <c r="I20" s="40" t="n"/>
      <c r="J20" s="41" t="n"/>
    </row>
    <row r="21" ht="42" customHeight="1">
      <c r="A21" s="16" t="inlineStr">
        <is>
          <t>20D</t>
        </is>
      </c>
      <c r="B21" s="16" t="inlineStr">
        <is>
          <t>Berth closed</t>
        </is>
      </c>
      <c r="C21" s="43" t="n"/>
      <c r="D21" s="46" t="n">
        <v>46299</v>
      </c>
      <c r="E21" s="46" t="n">
        <v>46319</v>
      </c>
      <c r="F21" s="16" t="inlineStr">
        <is>
          <t>Close on 4–24 Oct 2026 to renovate electric channel (INCEDA is alongside at 20D; other vessels are booked from 12/09)  —  Unchanged – conflicts with vessel bookings, please confirm</t>
        </is>
      </c>
      <c r="G21" s="40" t="n"/>
      <c r="H21" s="40" t="n"/>
      <c r="I21" s="40" t="n"/>
      <c r="J21" s="41" t="n"/>
    </row>
    <row r="22" ht="42" customHeight="1">
      <c r="A22" s="9" t="inlineStr">
        <is>
          <t>20E / G.25</t>
        </is>
      </c>
      <c r="B22" s="9" t="inlineStr">
        <is>
          <t>Gate stopped</t>
        </is>
      </c>
      <c r="C22" s="42" t="n"/>
      <c r="D22" s="47" t="n">
        <v>46300</v>
      </c>
      <c r="E22" s="47" t="n">
        <v>46313</v>
      </c>
      <c r="F22" s="9" t="inlineStr">
        <is>
          <t>G.25 stops working 5–18 Oct 2026 to change trolley rail (in progress)  —  Unchanged</t>
        </is>
      </c>
      <c r="G22" s="40" t="n"/>
      <c r="H22" s="40" t="n"/>
      <c r="I22" s="40" t="n"/>
      <c r="J22" s="41" t="n"/>
    </row>
  </sheetData>
  <mergeCells count="3">
    <mergeCell ref="F22:J22"/>
    <mergeCell ref="F20:J20"/>
    <mergeCell ref="F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2026-10-13T03:45:18Z</dcterms:created>
  <dcterms:modified xmlns:dcterms="http://purl.org/dc/terms/" xmlns:xsi="http://www.w3.org/2001/XMLSchema-instance" xsi:type="dcterms:W3CDTF">2026-10-13T03:45:20Z</dcterms:modified>
</cp:coreProperties>
</file>