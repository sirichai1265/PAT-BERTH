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4" t="n">
        <v>46304.91666666666</v>
      </c>
      <c r="E4" s="44" t="n">
        <v>46305.625</v>
      </c>
      <c r="F4" s="44" t="n">
        <v>46306.625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4" t="n">
        <v>46307.375</v>
      </c>
      <c r="E5" s="44" t="n">
        <v>46307.66666666666</v>
      </c>
      <c r="F5" s="44" t="n">
        <v>46309.20833333334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5" t="n">
        <v>46308</v>
      </c>
      <c r="E6" s="45" t="n">
        <v>46309.25</v>
      </c>
      <c r="F6" s="45" t="n">
        <v>46310.66666666666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4" t="n">
        <v>46305.875</v>
      </c>
      <c r="E7" s="44" t="n">
        <v>46306.20833333334</v>
      </c>
      <c r="F7" s="44" t="n">
        <v>46307.08333333334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5" t="n">
        <v>46307.95833333334</v>
      </c>
      <c r="E8" s="45" t="n">
        <v>46308.25</v>
      </c>
      <c r="F8" s="45" t="n">
        <v>46309.625</v>
      </c>
      <c r="G8" s="34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4" t="n">
        <v>46304.91666666666</v>
      </c>
      <c r="E9" s="44" t="n">
        <v>46305.58333333334</v>
      </c>
      <c r="F9" s="44" t="n">
        <v>46307.08333333334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4" t="n">
        <v>46308.04166666666</v>
      </c>
      <c r="E10" s="44" t="n">
        <v>46308.20833333334</v>
      </c>
      <c r="F10" s="44" t="n">
        <v>46309.625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4" t="n">
        <v>46305.70833333334</v>
      </c>
      <c r="E11" s="44" t="n">
        <v>46306.25</v>
      </c>
      <c r="F11" s="44" t="n">
        <v>46307.58333333334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4" t="n">
        <v>46307.375</v>
      </c>
      <c r="E12" s="44" t="n">
        <v>46307.66666666666</v>
      </c>
      <c r="F12" s="44" t="n">
        <v>46309.20833333334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5" t="n">
        <v>46308.29166666666</v>
      </c>
      <c r="E13" s="45" t="n">
        <v>46309.20833333334</v>
      </c>
      <c r="F13" s="45" t="n">
        <v>46309.91666666666</v>
      </c>
      <c r="G13" s="34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4" t="n">
        <v>46302.83333333334</v>
      </c>
      <c r="E14" s="44" t="n">
        <v>46304.625</v>
      </c>
      <c r="F14" s="44" t="n">
        <v>46306.5</v>
      </c>
      <c r="G14" s="28">
        <f>(F14-E14)*24</f>
        <v/>
      </c>
      <c r="H14" s="23" t="inlineStr">
        <is>
          <t>–</t>
        </is>
      </c>
      <c r="I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5" t="n">
        <v>46307.375</v>
      </c>
      <c r="E15" s="45" t="n">
        <v>46307.625</v>
      </c>
      <c r="F15" s="45" t="n">
        <v>46308.25</v>
      </c>
      <c r="G15" s="34">
        <f>(F15-E15)*24</f>
        <v/>
      </c>
      <c r="H15" s="17" t="inlineStr">
        <is>
          <t>–</t>
        </is>
      </c>
      <c r="I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4" t="n">
        <v>46307.91666666666</v>
      </c>
      <c r="E16" s="44" t="n">
        <v>46308.25</v>
      </c>
      <c r="F16" s="44" t="n">
        <v>46309.25</v>
      </c>
      <c r="G16" s="28">
        <f>(F16-E16)*24</f>
        <v/>
      </c>
      <c r="H16" s="23" t="inlineStr">
        <is>
          <t>1C</t>
        </is>
      </c>
      <c r="I16" s="23" t="inlineStr"/>
    </row>
    <row r="19">
      <c r="A19" s="39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40" t="n"/>
      <c r="H21" s="40" t="n"/>
      <c r="I21" s="41" t="n"/>
    </row>
    <row r="22" ht="42" customHeight="1">
      <c r="A22" s="9" t="inlineStr">
        <is>
          <t>20E / G.25</t>
        </is>
      </c>
      <c r="B22" s="9" t="inlineStr">
        <is>
          <t>Gate stopped</t>
        </is>
      </c>
      <c r="C22" s="42" t="n"/>
      <c r="D22" s="47" t="n">
        <v>46300</v>
      </c>
      <c r="E22" s="47" t="n">
        <v>46313</v>
      </c>
      <c r="F22" s="9" t="inlineStr">
        <is>
          <t>G.25 stops working 5–18 Oct 2026 to change trolley rail (in progress)  —  Unchanged</t>
        </is>
      </c>
      <c r="G22" s="40" t="n"/>
      <c r="H22" s="40" t="n"/>
      <c r="I22" s="41" t="n"/>
    </row>
  </sheetData>
  <mergeCells count="3"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