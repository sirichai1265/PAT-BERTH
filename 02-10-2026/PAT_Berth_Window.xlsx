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46297.625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RESURGENCE</t>
        </is>
      </c>
      <c r="C5" s="23" t="n">
        <v>458</v>
      </c>
      <c r="D5" s="44" t="n">
        <v>46298.54166666666</v>
      </c>
      <c r="E5" s="44" t="n">
        <v>46298.54166666666</v>
      </c>
      <c r="F5" s="44" t="n">
        <v>46299.5</v>
      </c>
      <c r="G5" s="28">
        <f>(F5-E5)*24</f>
        <v/>
      </c>
      <c r="H5" s="23" t="inlineStr">
        <is>
          <t>–</t>
        </is>
      </c>
      <c r="I5" s="23" t="inlineStr"/>
    </row>
    <row r="6">
      <c r="A6" s="5" t="inlineStr">
        <is>
          <t>20AB</t>
        </is>
      </c>
      <c r="B6" s="5" t="inlineStr">
        <is>
          <t>ZHONG GU BEI HAI</t>
        </is>
      </c>
      <c r="C6" s="23" t="n">
        <v>561</v>
      </c>
      <c r="D6" s="44" t="n">
        <v>46299.375</v>
      </c>
      <c r="E6" s="44" t="n">
        <v>46299.45833333334</v>
      </c>
      <c r="F6" s="44" t="n">
        <v>46301.45833333334</v>
      </c>
      <c r="G6" s="28">
        <f>(F6-E6)*24</f>
        <v/>
      </c>
      <c r="H6" s="23" t="inlineStr">
        <is>
          <t>–</t>
        </is>
      </c>
      <c r="I6" s="23" t="inlineStr"/>
    </row>
    <row r="7">
      <c r="A7" s="6" t="inlineStr">
        <is>
          <t>20B</t>
        </is>
      </c>
      <c r="B7" s="6" t="inlineStr">
        <is>
          <t>KHARIS HERITAGE</t>
        </is>
      </c>
      <c r="C7" s="17" t="n">
        <v>482</v>
      </c>
      <c r="D7" s="45" t="n">
        <v>46296.45833333334</v>
      </c>
      <c r="E7" s="45" t="n">
        <v>46296.75</v>
      </c>
      <c r="F7" s="45" t="n">
        <v>46297.70833333334</v>
      </c>
      <c r="G7" s="34">
        <f>(F7-E7)*24</f>
        <v/>
      </c>
      <c r="H7" s="17" t="inlineStr">
        <is>
          <t>–</t>
        </is>
      </c>
      <c r="I7" s="17" t="inlineStr">
        <is>
          <t>Yes</t>
        </is>
      </c>
    </row>
    <row r="8">
      <c r="A8" s="5" t="inlineStr">
        <is>
          <t>20B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20B</t>
        </is>
      </c>
      <c r="B9" s="5" t="inlineStr">
        <is>
          <t>JOSCO LUCKY</t>
        </is>
      </c>
      <c r="C9" s="23" t="n">
        <v>564</v>
      </c>
      <c r="D9" s="44" t="n">
        <v>46300.91666666666</v>
      </c>
      <c r="E9" s="44" t="n">
        <v>46301.5</v>
      </c>
      <c r="F9" s="44" t="n">
        <v>46302.54166666666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DENEB</t>
        </is>
      </c>
      <c r="C10" s="23" t="n">
        <v>564</v>
      </c>
      <c r="D10" s="44" t="n">
        <v>46300</v>
      </c>
      <c r="E10" s="44" t="n">
        <v>46300.5</v>
      </c>
      <c r="F10" s="44" t="n">
        <v>46302.5</v>
      </c>
      <c r="G10" s="28">
        <f>(F10-E10)*24</f>
        <v/>
      </c>
      <c r="H10" s="23" t="inlineStr">
        <is>
          <t>–</t>
        </is>
      </c>
      <c r="I10" s="23" t="inlineStr"/>
    </row>
    <row r="11">
      <c r="A11" s="6" t="inlineStr">
        <is>
          <t>20D</t>
        </is>
      </c>
      <c r="B11" s="6" t="inlineStr">
        <is>
          <t>ALS SUMIRE</t>
        </is>
      </c>
      <c r="C11" s="17" t="n">
        <v>537</v>
      </c>
      <c r="D11" s="45" t="n">
        <v>46296.25</v>
      </c>
      <c r="E11" s="45" t="n">
        <v>46296.66666666666</v>
      </c>
      <c r="F11" s="45" t="n">
        <v>46297.70833333334</v>
      </c>
      <c r="G11" s="34">
        <f>(F11-E11)*24</f>
        <v/>
      </c>
      <c r="H11" s="17" t="inlineStr">
        <is>
          <t>1C</t>
        </is>
      </c>
      <c r="I11" s="17" t="inlineStr">
        <is>
          <t>Yes</t>
        </is>
      </c>
    </row>
    <row r="12">
      <c r="A12" s="5" t="inlineStr">
        <is>
          <t>20D</t>
        </is>
      </c>
      <c r="B12" s="5" t="inlineStr">
        <is>
          <t>HARI BHUM (Barge)</t>
        </is>
      </c>
      <c r="C12" s="23" t="n">
        <v>259</v>
      </c>
      <c r="D12" s="44" t="n">
        <v>46298.20833333334</v>
      </c>
      <c r="E12" s="44" t="n">
        <v>46298.20833333334</v>
      </c>
      <c r="F12" s="44" t="n">
        <v>46298.66666666666</v>
      </c>
      <c r="G12" s="28">
        <f>(F12-E12)*24</f>
        <v/>
      </c>
      <c r="H12" s="23" t="inlineStr">
        <is>
          <t>–</t>
        </is>
      </c>
      <c r="I12" s="23" t="inlineStr"/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5" t="inlineStr">
        <is>
          <t>20F</t>
        </is>
      </c>
      <c r="B14" s="5" t="inlineStr">
        <is>
          <t>KMTC BANGKOK</t>
        </is>
      </c>
      <c r="C14" s="23" t="n">
        <v>565</v>
      </c>
      <c r="D14" s="44" t="n">
        <v>46297.29166666666</v>
      </c>
      <c r="E14" s="44" t="n">
        <v>46297.33333333334</v>
      </c>
      <c r="F14" s="44" t="n">
        <v>46298.70833333334</v>
      </c>
      <c r="G14" s="28">
        <f>(F14-E14)*24</f>
        <v/>
      </c>
      <c r="H14" s="23" t="inlineStr">
        <is>
          <t>–</t>
        </is>
      </c>
      <c r="I14" s="23" t="inlineStr"/>
    </row>
    <row r="15">
      <c r="A15" s="5" t="inlineStr">
        <is>
          <t>20F</t>
        </is>
      </c>
      <c r="B15" s="5" t="inlineStr">
        <is>
          <t>XIN MING ZHOU 98</t>
        </is>
      </c>
      <c r="C15" s="23" t="n">
        <v>564</v>
      </c>
      <c r="D15" s="44" t="n">
        <v>46299.375</v>
      </c>
      <c r="E15" s="44" t="n">
        <v>46299.375</v>
      </c>
      <c r="F15" s="44" t="n">
        <v>46300.375</v>
      </c>
      <c r="G15" s="28">
        <f>(F15-E15)*24</f>
        <v/>
      </c>
      <c r="H15" s="23" t="inlineStr">
        <is>
          <t>–</t>
        </is>
      </c>
      <c r="I15" s="23" t="inlineStr"/>
    </row>
    <row r="18">
      <c r="A18" s="39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40" t="n"/>
      <c r="H19" s="40" t="n"/>
      <c r="I19" s="41" t="n"/>
    </row>
    <row r="20" ht="42" customHeight="1">
      <c r="A20" s="16" t="inlineStr">
        <is>
          <t>20C</t>
        </is>
      </c>
      <c r="B20" s="16" t="inlineStr">
        <is>
          <t>Berth closed</t>
        </is>
      </c>
      <c r="C20" s="43" t="n"/>
      <c r="D20" s="17" t="inlineStr">
        <is>
          <t>–</t>
        </is>
      </c>
      <c r="E20" s="46" t="n">
        <v>46300</v>
      </c>
      <c r="F20" s="16" t="inlineStr">
        <is>
          <t>Wharf will be utilised on 5 Oct 2026  —  Slipped: reopening 3 Oct → 5 Oct</t>
        </is>
      </c>
      <c r="G20" s="40" t="n"/>
      <c r="H20" s="40" t="n"/>
      <c r="I20" s="41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43" t="n"/>
      <c r="D21" s="46" t="n">
        <v>46299</v>
      </c>
      <c r="E21" s="46" t="n">
        <v>46319</v>
      </c>
      <c r="F21" s="16" t="inlineStr">
        <is>
          <t>Close on 4–24 Oct 2026 to renovate electric channel  —  Slipped: start 3 Oct → 4 Oct</t>
        </is>
      </c>
      <c r="G21" s="40" t="n"/>
      <c r="H21" s="40" t="n"/>
      <c r="I21" s="41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43" t="n"/>
      <c r="D22" s="46" t="n">
        <v>46300</v>
      </c>
      <c r="E22" s="46" t="n">
        <v>46313</v>
      </c>
      <c r="F22" s="16" t="inlineStr">
        <is>
          <t>G.25 stops working 5–18 Oct 2026 to change trolley rail  —  Slipped: start 3 Oct → 5 Oct</t>
        </is>
      </c>
      <c r="G22" s="40" t="n"/>
      <c r="H22" s="40" t="n"/>
      <c r="I22" s="41" t="n"/>
    </row>
  </sheetData>
  <mergeCells count="4">
    <mergeCell ref="F19:I19"/>
    <mergeCell ref="F20:I20"/>
    <mergeCell ref="F21:I21"/>
    <mergeCell ref="F22:I2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