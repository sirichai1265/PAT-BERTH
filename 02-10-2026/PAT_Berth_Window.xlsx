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4" t="n">
        <v>46295.875</v>
      </c>
      <c r="E4" s="44" t="n">
        <v>46296.25</v>
      </c>
      <c r="F4" s="44" t="n">
        <v>46297.625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44" t="n">
        <v>46298.54166666666</v>
      </c>
      <c r="E5" s="44" t="n">
        <v>46298.54166666666</v>
      </c>
      <c r="F5" s="44" t="n">
        <v>46299.5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44" t="n">
        <v>46299.375</v>
      </c>
      <c r="E6" s="44" t="n">
        <v>46299.45833333334</v>
      </c>
      <c r="F6" s="44" t="n">
        <v>46301.45833333334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5" t="n">
        <v>46296.45833333334</v>
      </c>
      <c r="E7" s="45" t="n">
        <v>46296.75</v>
      </c>
      <c r="F7" s="45" t="n">
        <v>46297.70833333334</v>
      </c>
      <c r="G7" s="34">
        <f>(E7-D7)*24</f>
        <v/>
      </c>
      <c r="H7" s="34">
        <f>(F7-E7)*24</f>
        <v/>
      </c>
      <c r="I7" s="17" t="inlineStr">
        <is>
          <t>–</t>
        </is>
      </c>
      <c r="J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44" t="n">
        <v>46298.83333333334</v>
      </c>
      <c r="E8" s="44" t="n">
        <v>46298.83333333334</v>
      </c>
      <c r="F8" s="44" t="n">
        <v>46300.41666666666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44" t="n">
        <v>46300.91666666666</v>
      </c>
      <c r="E9" s="44" t="n">
        <v>46301.5</v>
      </c>
      <c r="F9" s="44" t="n">
        <v>46302.54166666666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44" t="n">
        <v>46300</v>
      </c>
      <c r="E10" s="44" t="n">
        <v>46300.5</v>
      </c>
      <c r="F10" s="44" t="n">
        <v>46302.5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5" t="n">
        <v>46296.25</v>
      </c>
      <c r="E11" s="45" t="n">
        <v>46296.66666666666</v>
      </c>
      <c r="F11" s="45" t="n">
        <v>46297.70833333334</v>
      </c>
      <c r="G11" s="34">
        <f>(E11-D11)*24</f>
        <v/>
      </c>
      <c r="H11" s="34">
        <f>(F11-E11)*24</f>
        <v/>
      </c>
      <c r="I11" s="17" t="inlineStr">
        <is>
          <t>1C</t>
        </is>
      </c>
      <c r="J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44" t="n">
        <v>46298.20833333334</v>
      </c>
      <c r="E12" s="44" t="n">
        <v>46298.20833333334</v>
      </c>
      <c r="F12" s="44" t="n">
        <v>46298.66666666666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44" t="n">
        <v>46297.29166666666</v>
      </c>
      <c r="E14" s="44" t="n">
        <v>46297.33333333334</v>
      </c>
      <c r="F14" s="44" t="n">
        <v>46298.70833333334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44" t="n">
        <v>46299.375</v>
      </c>
      <c r="E15" s="44" t="n">
        <v>46299.375</v>
      </c>
      <c r="F15" s="44" t="n">
        <v>46300.375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8">
      <c r="A18" s="39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40" t="n"/>
      <c r="H19" s="40" t="n"/>
      <c r="I19" s="40" t="n"/>
      <c r="J19" s="41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43" t="n"/>
      <c r="D20" s="17" t="inlineStr">
        <is>
          <t>–</t>
        </is>
      </c>
      <c r="E20" s="46" t="n">
        <v>46300</v>
      </c>
      <c r="F20" s="16" t="inlineStr">
        <is>
          <t>Wharf will be utilised on 5 Oct 2026  —  Slipped: reopening 3 Oct → 5 Oct</t>
        </is>
      </c>
      <c r="G20" s="40" t="n"/>
      <c r="H20" s="40" t="n"/>
      <c r="I20" s="40" t="n"/>
      <c r="J20" s="41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3" t="n"/>
      <c r="D21" s="46" t="n">
        <v>46299</v>
      </c>
      <c r="E21" s="46" t="n">
        <v>46319</v>
      </c>
      <c r="F21" s="16" t="inlineStr">
        <is>
          <t>Close on 4–24 Oct 2026 to renovate electric channel  —  Slipped: start 3 Oct → 4 Oct</t>
        </is>
      </c>
      <c r="G21" s="40" t="n"/>
      <c r="H21" s="40" t="n"/>
      <c r="I21" s="40" t="n"/>
      <c r="J21" s="41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43" t="n"/>
      <c r="D22" s="46" t="n">
        <v>46300</v>
      </c>
      <c r="E22" s="46" t="n">
        <v>46313</v>
      </c>
      <c r="F22" s="16" t="inlineStr">
        <is>
          <t>G.25 stops working 5–18 Oct 2026 to change trolley rail  —  Slipped: start 3 Oct → 5 Oct</t>
        </is>
      </c>
      <c r="G22" s="40" t="n"/>
      <c r="H22" s="40" t="n"/>
      <c r="I22" s="40" t="n"/>
      <c r="J22" s="41" t="n"/>
    </row>
  </sheetData>
  <mergeCells count="4">
    <mergeCell ref="F22:J22"/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2026-10-14T03:27:20Z</dcterms:modified>
</cp:coreProperties>
</file>