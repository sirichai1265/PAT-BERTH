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d-mmm-yyyy"/>
    <numFmt numFmtId="165" formatCode="[$-409]dd-mmm hh:mm"/>
    <numFmt numFmtId="166" formatCode="[$-409]dd-mmm-yyyy hh:mm"/>
    <numFmt numFmtId="167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6324F"/>
      <sz val="14"/>
    </font>
    <font>
      <name val="Arial"/>
      <i val="1"/>
      <color rgb="004F6479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6324F"/>
      <sz val="12"/>
    </font>
    <font>
      <name val="Arial"/>
      <i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FF1E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6324F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164" fontId="5" fillId="3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166" fontId="8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center" vertical="center"/>
    </xf>
    <xf numFmtId="167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5" fillId="0" borderId="1" pivotButton="0" quotePrefix="0" xfId="0"/>
    <xf numFmtId="0" fontId="5" fillId="3" borderId="1" pivotButton="0" quotePrefix="0" xfId="0"/>
    <xf numFmtId="0" fontId="7" fillId="0" borderId="0" pivotButton="0" quotePrefix="0" xfId="0"/>
    <xf numFmtId="165" fontId="5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PAT Berth Window — Vessel List by Berth — Sheet dated 15 Oct 2026</t>
        </is>
      </c>
    </row>
    <row r="3">
      <c r="A3" s="3" t="inlineStr">
        <is>
          <t>Berth</t>
        </is>
      </c>
      <c r="B3" s="3" t="inlineStr">
        <is>
          <t>Vessel</t>
        </is>
      </c>
      <c r="C3" s="3" t="inlineStr">
        <is>
          <t>LOA (m)</t>
        </is>
      </c>
      <c r="D3" s="3" t="inlineStr">
        <is>
          <t>ETA</t>
        </is>
      </c>
      <c r="E3" s="3" t="inlineStr">
        <is>
          <t>P.B</t>
        </is>
      </c>
      <c r="F3" s="3" t="inlineStr">
        <is>
          <t>ETD</t>
        </is>
      </c>
      <c r="G3" s="3" t="inlineStr">
        <is>
          <t>Waiting for Berth (h)</t>
        </is>
      </c>
      <c r="H3" s="3" t="inlineStr">
        <is>
          <t>Hours Alongside</t>
        </is>
      </c>
      <c r="I3" s="3" t="inlineStr">
        <is>
          <t>Shift</t>
        </is>
      </c>
      <c r="J3" s="3" t="inlineStr">
        <is>
          <t>Marked</t>
        </is>
      </c>
    </row>
    <row r="4">
      <c r="A4" s="5" t="inlineStr">
        <is>
          <t>20AB</t>
        </is>
      </c>
      <c r="B4" s="5" t="inlineStr">
        <is>
          <t>WAN HAI 176</t>
        </is>
      </c>
      <c r="C4" s="23" t="n">
        <v>564</v>
      </c>
      <c r="D4" s="40" t="n">
        <v>46310.33333333334</v>
      </c>
      <c r="E4" s="40" t="n">
        <v>46310.375</v>
      </c>
      <c r="F4" s="40" t="n">
        <v>46311.66666666666</v>
      </c>
      <c r="G4" s="24">
        <f>(E4-D4)*24</f>
        <v/>
      </c>
      <c r="H4" s="24">
        <f>(F4-E4)*24</f>
        <v/>
      </c>
      <c r="I4" s="23" t="inlineStr">
        <is>
          <t>–</t>
        </is>
      </c>
      <c r="J4" s="23" t="inlineStr"/>
    </row>
    <row r="5">
      <c r="A5" s="5" t="inlineStr">
        <is>
          <t>20AB</t>
        </is>
      </c>
      <c r="B5" s="5" t="inlineStr">
        <is>
          <t>BANGKOK</t>
        </is>
      </c>
      <c r="C5" s="23" t="n">
        <v>551</v>
      </c>
      <c r="D5" s="40" t="n">
        <v>46311.875</v>
      </c>
      <c r="E5" s="40" t="n">
        <v>46312.375</v>
      </c>
      <c r="F5" s="40" t="n">
        <v>46313.66666666666</v>
      </c>
      <c r="G5" s="24">
        <f>(E5-D5)*24</f>
        <v/>
      </c>
      <c r="H5" s="24">
        <f>(F5-E5)*24</f>
        <v/>
      </c>
      <c r="I5" s="23" t="inlineStr">
        <is>
          <t>–</t>
        </is>
      </c>
      <c r="J5" s="23" t="inlineStr"/>
    </row>
    <row r="6">
      <c r="A6" s="5" t="inlineStr">
        <is>
          <t>20AB</t>
        </is>
      </c>
      <c r="B6" s="5" t="inlineStr">
        <is>
          <t>CAPE FAWLEY</t>
        </is>
      </c>
      <c r="C6" s="23" t="n">
        <v>558</v>
      </c>
      <c r="D6" s="40" t="n">
        <v>46314.75</v>
      </c>
      <c r="E6" s="40" t="n">
        <v>46314.75</v>
      </c>
      <c r="F6" s="40" t="n">
        <v>46316.45833333334</v>
      </c>
      <c r="G6" s="24">
        <f>(E6-D6)*24</f>
        <v/>
      </c>
      <c r="H6" s="24">
        <f>(F6-E6)*24</f>
        <v/>
      </c>
      <c r="I6" s="23" t="inlineStr">
        <is>
          <t>–</t>
        </is>
      </c>
      <c r="J6" s="23" t="inlineStr"/>
    </row>
    <row r="7">
      <c r="A7" s="5" t="inlineStr">
        <is>
          <t>20B</t>
        </is>
      </c>
      <c r="B7" s="5" t="inlineStr">
        <is>
          <t>KHARIS HERITAGE</t>
        </is>
      </c>
      <c r="C7" s="23" t="n">
        <v>482</v>
      </c>
      <c r="D7" s="40" t="n">
        <v>46310.04166666666</v>
      </c>
      <c r="E7" s="40" t="n">
        <v>46310.25</v>
      </c>
      <c r="F7" s="40" t="n">
        <v>46311.29166666666</v>
      </c>
      <c r="G7" s="24">
        <f>(E7-D7)*24</f>
        <v/>
      </c>
      <c r="H7" s="24">
        <f>(F7-E7)*24</f>
        <v/>
      </c>
      <c r="I7" s="23" t="inlineStr">
        <is>
          <t>–</t>
        </is>
      </c>
      <c r="J7" s="23" t="inlineStr"/>
    </row>
    <row r="8">
      <c r="A8" s="5" t="inlineStr">
        <is>
          <t>20B</t>
        </is>
      </c>
      <c r="B8" s="5" t="inlineStr">
        <is>
          <t>LITTLE DOLPHIN</t>
        </is>
      </c>
      <c r="C8" s="23" t="n">
        <v>564</v>
      </c>
      <c r="D8" s="40" t="n">
        <v>46311.70833333334</v>
      </c>
      <c r="E8" s="40" t="n">
        <v>46311.70833333334</v>
      </c>
      <c r="F8" s="40" t="n">
        <v>46313.29166666666</v>
      </c>
      <c r="G8" s="24">
        <f>(E8-D8)*24</f>
        <v/>
      </c>
      <c r="H8" s="24">
        <f>(F8-E8)*24</f>
        <v/>
      </c>
      <c r="I8" s="23" t="inlineStr">
        <is>
          <t>–</t>
        </is>
      </c>
      <c r="J8" s="23" t="inlineStr"/>
    </row>
    <row r="9">
      <c r="A9" s="5" t="inlineStr">
        <is>
          <t>20B</t>
        </is>
      </c>
      <c r="B9" s="5" t="inlineStr">
        <is>
          <t>XIN MING ZHOU 108</t>
        </is>
      </c>
      <c r="C9" s="23" t="n">
        <v>564</v>
      </c>
      <c r="D9" s="40" t="n">
        <v>46312.91666666666</v>
      </c>
      <c r="E9" s="40" t="n">
        <v>46313.33333333334</v>
      </c>
      <c r="F9" s="40" t="n">
        <v>46314.29166666666</v>
      </c>
      <c r="G9" s="24">
        <f>(E9-D9)*24</f>
        <v/>
      </c>
      <c r="H9" s="24">
        <f>(F9-E9)*24</f>
        <v/>
      </c>
      <c r="I9" s="23" t="inlineStr">
        <is>
          <t>–</t>
        </is>
      </c>
      <c r="J9" s="23" t="inlineStr"/>
    </row>
    <row r="10">
      <c r="A10" s="5" t="inlineStr">
        <is>
          <t>20C</t>
        </is>
      </c>
      <c r="B10" s="5" t="inlineStr">
        <is>
          <t>WAN HAI 175</t>
        </is>
      </c>
      <c r="C10" s="23" t="n">
        <v>565</v>
      </c>
      <c r="D10" s="40" t="n">
        <v>46309.875</v>
      </c>
      <c r="E10" s="40" t="n">
        <v>46310.29166666666</v>
      </c>
      <c r="F10" s="40" t="n">
        <v>46311.625</v>
      </c>
      <c r="G10" s="24">
        <f>(E10-D10)*24</f>
        <v/>
      </c>
      <c r="H10" s="24">
        <f>(F10-E10)*24</f>
        <v/>
      </c>
      <c r="I10" s="23" t="inlineStr">
        <is>
          <t>–</t>
        </is>
      </c>
      <c r="J10" s="23" t="inlineStr"/>
    </row>
    <row r="11">
      <c r="A11" s="5" t="inlineStr">
        <is>
          <t>20C</t>
        </is>
      </c>
      <c r="B11" s="5" t="inlineStr">
        <is>
          <t>TS CHIBA</t>
        </is>
      </c>
      <c r="C11" s="23" t="n">
        <v>485</v>
      </c>
      <c r="D11" s="40" t="n">
        <v>46312.08333333334</v>
      </c>
      <c r="E11" s="40" t="n">
        <v>46312.33333333334</v>
      </c>
      <c r="F11" s="40" t="n">
        <v>46313.29166666666</v>
      </c>
      <c r="G11" s="24">
        <f>(E11-D11)*24</f>
        <v/>
      </c>
      <c r="H11" s="24">
        <f>(F11-E11)*24</f>
        <v/>
      </c>
      <c r="I11" s="23" t="inlineStr">
        <is>
          <t>–</t>
        </is>
      </c>
      <c r="J11" s="23" t="inlineStr"/>
    </row>
    <row r="12">
      <c r="A12" s="5" t="inlineStr">
        <is>
          <t>20C</t>
        </is>
      </c>
      <c r="B12" s="5" t="inlineStr">
        <is>
          <t>INFINITY</t>
        </is>
      </c>
      <c r="C12" s="23" t="n">
        <v>565</v>
      </c>
      <c r="D12" s="40" t="n">
        <v>46313.25</v>
      </c>
      <c r="E12" s="40" t="n">
        <v>46313.29166666666</v>
      </c>
      <c r="F12" s="40" t="n">
        <v>46314.41666666666</v>
      </c>
      <c r="G12" s="24">
        <f>(E12-D12)*24</f>
        <v/>
      </c>
      <c r="H12" s="24">
        <f>(F12-E12)*24</f>
        <v/>
      </c>
      <c r="I12" s="23" t="inlineStr">
        <is>
          <t>–</t>
        </is>
      </c>
      <c r="J12" s="23" t="inlineStr"/>
    </row>
    <row r="13">
      <c r="A13" s="5" t="inlineStr">
        <is>
          <t>20D</t>
        </is>
      </c>
      <c r="B13" s="5" t="inlineStr">
        <is>
          <t>SITC DALIAN</t>
        </is>
      </c>
      <c r="C13" s="23" t="n">
        <v>470</v>
      </c>
      <c r="D13" s="40" t="n">
        <v>46309.33333333334</v>
      </c>
      <c r="E13" s="40" t="n">
        <v>46310.20833333334</v>
      </c>
      <c r="F13" s="40" t="n">
        <v>46311.25</v>
      </c>
      <c r="G13" s="24">
        <f>(E13-D13)*24</f>
        <v/>
      </c>
      <c r="H13" s="24">
        <f>(F13-E13)*24</f>
        <v/>
      </c>
      <c r="I13" s="23" t="inlineStr">
        <is>
          <t>–</t>
        </is>
      </c>
      <c r="J13" s="23" t="inlineStr"/>
    </row>
    <row r="14">
      <c r="A14" s="5" t="inlineStr">
        <is>
          <t>20D</t>
        </is>
      </c>
      <c r="B14" s="5" t="inlineStr">
        <is>
          <t>WAN HAI 172</t>
        </is>
      </c>
      <c r="C14" s="23" t="n">
        <v>565</v>
      </c>
      <c r="D14" s="40" t="n">
        <v>46311.04166666666</v>
      </c>
      <c r="E14" s="40" t="n">
        <v>46311.29166666666</v>
      </c>
      <c r="F14" s="40" t="n">
        <v>46312.625</v>
      </c>
      <c r="G14" s="24">
        <f>(E14-D14)*24</f>
        <v/>
      </c>
      <c r="H14" s="24">
        <f>(F14-E14)*24</f>
        <v/>
      </c>
      <c r="I14" s="23" t="inlineStr">
        <is>
          <t>–</t>
        </is>
      </c>
      <c r="J14" s="23" t="inlineStr"/>
    </row>
    <row r="15">
      <c r="A15" s="5" t="inlineStr">
        <is>
          <t>20D</t>
        </is>
      </c>
      <c r="B15" s="5" t="inlineStr">
        <is>
          <t>JARU BHUM</t>
        </is>
      </c>
      <c r="C15" s="23" t="n">
        <v>564</v>
      </c>
      <c r="D15" s="40" t="n">
        <v>46312.75</v>
      </c>
      <c r="E15" s="40" t="n">
        <v>46312.75</v>
      </c>
      <c r="F15" s="40" t="n">
        <v>46313.45833333334</v>
      </c>
      <c r="G15" s="24">
        <f>(E15-D15)*24</f>
        <v/>
      </c>
      <c r="H15" s="24">
        <f>(F15-E15)*24</f>
        <v/>
      </c>
      <c r="I15" s="23" t="inlineStr">
        <is>
          <t>7B</t>
        </is>
      </c>
      <c r="J15" s="23" t="inlineStr"/>
    </row>
    <row r="16">
      <c r="A16" s="5" t="inlineStr">
        <is>
          <t>20D</t>
        </is>
      </c>
      <c r="B16" s="5" t="inlineStr">
        <is>
          <t>MITRA BHUM</t>
        </is>
      </c>
      <c r="C16" s="23" t="n">
        <v>485</v>
      </c>
      <c r="D16" s="40" t="n">
        <v>46314.95833333334</v>
      </c>
      <c r="E16" s="40" t="n">
        <v>46315.375</v>
      </c>
      <c r="F16" s="40" t="n">
        <v>46316.33333333334</v>
      </c>
      <c r="G16" s="24">
        <f>(E16-D16)*24</f>
        <v/>
      </c>
      <c r="H16" s="24">
        <f>(F16-E16)*24</f>
        <v/>
      </c>
      <c r="I16" s="23" t="inlineStr">
        <is>
          <t>–</t>
        </is>
      </c>
      <c r="J16" s="23" t="inlineStr"/>
    </row>
    <row r="17">
      <c r="A17" s="5" t="inlineStr">
        <is>
          <t>20F</t>
        </is>
      </c>
      <c r="B17" s="5" t="inlineStr">
        <is>
          <t>SAWASDEE INCHEON</t>
        </is>
      </c>
      <c r="C17" s="23" t="n">
        <v>564</v>
      </c>
      <c r="D17" s="40" t="n">
        <v>46308.625</v>
      </c>
      <c r="E17" s="40" t="n">
        <v>46309.25</v>
      </c>
      <c r="F17" s="40" t="n">
        <v>46311.25</v>
      </c>
      <c r="G17" s="24">
        <f>(E17-D17)*24</f>
        <v/>
      </c>
      <c r="H17" s="24">
        <f>(F17-E17)*24</f>
        <v/>
      </c>
      <c r="I17" s="23" t="inlineStr">
        <is>
          <t>–</t>
        </is>
      </c>
      <c r="J17" s="23" t="inlineStr"/>
    </row>
    <row r="18">
      <c r="A18" s="5" t="inlineStr">
        <is>
          <t>20F</t>
        </is>
      </c>
      <c r="B18" s="5" t="inlineStr">
        <is>
          <t>INGENUITY</t>
        </is>
      </c>
      <c r="C18" s="23" t="n">
        <v>564</v>
      </c>
      <c r="D18" s="40" t="n">
        <v>46311.95833333334</v>
      </c>
      <c r="E18" s="40" t="n">
        <v>46312.33333333334</v>
      </c>
      <c r="F18" s="40" t="n">
        <v>46313.29166666666</v>
      </c>
      <c r="G18" s="24">
        <f>(E18-D18)*24</f>
        <v/>
      </c>
      <c r="H18" s="24">
        <f>(F18-E18)*24</f>
        <v/>
      </c>
      <c r="I18" s="23" t="inlineStr">
        <is>
          <t>–</t>
        </is>
      </c>
      <c r="J18" s="23" t="inlineStr"/>
    </row>
    <row r="19">
      <c r="A19" s="5" t="inlineStr">
        <is>
          <t>20F</t>
        </is>
      </c>
      <c r="B19" s="5" t="inlineStr">
        <is>
          <t>KMTC JAKARTA</t>
        </is>
      </c>
      <c r="C19" s="23" t="n">
        <v>564</v>
      </c>
      <c r="D19" s="40" t="n">
        <v>46313.83333333334</v>
      </c>
      <c r="E19" s="40" t="n">
        <v>46313.83333333334</v>
      </c>
      <c r="F19" s="40" t="n">
        <v>46315.33333333334</v>
      </c>
      <c r="G19" s="24">
        <f>(E19-D19)*24</f>
        <v/>
      </c>
      <c r="H19" s="24">
        <f>(F19-E19)*24</f>
        <v/>
      </c>
      <c r="I19" s="23" t="inlineStr">
        <is>
          <t>–</t>
        </is>
      </c>
      <c r="J19" s="23" t="inlineStr"/>
    </row>
    <row r="22">
      <c r="A22" s="34" t="inlineStr">
        <is>
          <t>Berth &amp; gate notices on this sheet</t>
        </is>
      </c>
    </row>
    <row r="23">
      <c r="A23" s="3" t="inlineStr">
        <is>
          <t>Berth / Gate</t>
        </is>
      </c>
      <c r="B23" s="3" t="inlineStr">
        <is>
          <t>Type</t>
        </is>
      </c>
      <c r="C23" s="3" t="n"/>
      <c r="D23" s="3" t="inlineStr">
        <is>
          <t>From</t>
        </is>
      </c>
      <c r="E23" s="3" t="inlineStr">
        <is>
          <t>To</t>
        </is>
      </c>
      <c r="F23" s="3" t="inlineStr">
        <is>
          <t>Notice / change vs previous sheet</t>
        </is>
      </c>
      <c r="G23" s="35" t="n"/>
      <c r="H23" s="35" t="n"/>
      <c r="I23" s="35" t="n"/>
      <c r="J23" s="36" t="n"/>
    </row>
    <row r="24" ht="42" customHeight="1">
      <c r="A24" s="16" t="inlineStr">
        <is>
          <t>20D</t>
        </is>
      </c>
      <c r="B24" s="16" t="inlineStr">
        <is>
          <t>Berth closed</t>
        </is>
      </c>
      <c r="C24" s="38" t="n"/>
      <c r="D24" s="17" t="inlineStr">
        <is>
          <t>–</t>
        </is>
      </c>
      <c r="E24" s="17" t="inlineStr">
        <is>
          <t>–</t>
        </is>
      </c>
      <c r="F24" s="16" t="inlineStr">
        <is>
          <t>(no longer printed – 20D now has vessels booked and berthing)  —  Dropped from sheet: the 4–24 Oct closure notice is gone, so the vessel bookings no longer conflict</t>
        </is>
      </c>
      <c r="G24" s="35" t="n"/>
      <c r="H24" s="35" t="n"/>
      <c r="I24" s="35" t="n"/>
      <c r="J24" s="36" t="n"/>
    </row>
    <row r="25" ht="42" customHeight="1">
      <c r="A25" s="16" t="inlineStr">
        <is>
          <t>20E</t>
        </is>
      </c>
      <c r="B25" s="16" t="inlineStr">
        <is>
          <t>Berth closed</t>
        </is>
      </c>
      <c r="C25" s="38" t="n"/>
      <c r="D25" s="41" t="n">
        <v>46300</v>
      </c>
      <c r="E25" s="41" t="n">
        <v>46315</v>
      </c>
      <c r="F25" s="16" t="inlineStr">
        <is>
          <t>CLOSE (Oct 5–20 2026) printed under 20E; earlier sheets said G.25 stops working 5–18 Oct to change trolley rail  —  Changed: gate stoppage 5–18 Oct became a berth CLOSE 5–20 Oct</t>
        </is>
      </c>
      <c r="G25" s="35" t="n"/>
      <c r="H25" s="35" t="n"/>
      <c r="I25" s="35" t="n"/>
      <c r="J25" s="36" t="n"/>
    </row>
  </sheetData>
  <mergeCells count="3">
    <mergeCell ref="F24:J24"/>
    <mergeCell ref="F25:J25"/>
    <mergeCell ref="F23:J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2026-10-25T03:10:06Z</dcterms:created>
  <dcterms:modified xmlns:dcterms="http://purl.org/dc/terms/" xmlns:xsi="http://www.w3.org/2001/XMLSchema-instance" xsi:type="dcterms:W3CDTF">2026-10-25T03:10:12Z</dcterms:modified>
</cp:coreProperties>
</file>