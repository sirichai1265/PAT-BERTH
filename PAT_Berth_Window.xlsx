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s>
  <definedNames>
    <definedName name="_xlnm._FilterDatabase" localSheetId="1" hidden="1">'Berth Notices'!$A$4:$G$38</definedName>
    <definedName name="_xlnm._FilterDatabase" localSheetId="2" hidden="1">'Vessel List by Berth'!$A$5:$N$44</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165" fontId="4" fillId="0" borderId="2" applyAlignment="1" pivotButton="0" quotePrefix="0" xfId="0">
      <alignment horizontal="center" vertical="center"/>
    </xf>
    <xf numFmtId="0" fontId="5" fillId="0" borderId="2" applyAlignment="1" pivotButton="0" quotePrefix="0" xfId="0">
      <alignment horizontal="left" vertical="center" wrapText="1"/>
    </xf>
    <xf numFmtId="165" fontId="5" fillId="0" borderId="2" applyAlignment="1" pivotButton="0" quotePrefix="0" xfId="0">
      <alignment horizontal="center" vertical="center"/>
    </xf>
    <xf numFmtId="0" fontId="5" fillId="3" borderId="2" applyAlignment="1" pivotButton="0" quotePrefix="0" xfId="0">
      <alignment horizontal="center" vertical="center"/>
    </xf>
    <xf numFmtId="0" fontId="5" fillId="0" borderId="1" applyAlignment="1" pivotButton="0" quotePrefix="0" xfId="0">
      <alignment horizontal="center" vertical="center"/>
    </xf>
    <xf numFmtId="0" fontId="5" fillId="0"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3" borderId="2" applyAlignment="1" pivotButton="0" quotePrefix="0" xfId="0">
      <alignment horizontal="left" vertical="center"/>
    </xf>
    <xf numFmtId="0" fontId="5" fillId="3" borderId="2" applyAlignment="1" pivotButton="0" quotePrefix="0" xfId="0">
      <alignment horizontal="left" vertical="center"/>
    </xf>
    <xf numFmtId="166" fontId="5" fillId="3" borderId="2" applyAlignment="1" pivotButton="0" quotePrefix="0" xfId="0">
      <alignment horizontal="center" vertical="center"/>
    </xf>
    <xf numFmtId="167" fontId="5" fillId="3" borderId="2"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9" t="n">
        <v>46295</v>
      </c>
      <c r="B11" s="20" t="inlineStr">
        <is>
          <t>20AB / G.29</t>
        </is>
      </c>
      <c r="C11" s="20" t="inlineStr">
        <is>
          <t>Gate stopped</t>
        </is>
      </c>
      <c r="D11" s="21" t="n">
        <v>46294</v>
      </c>
      <c r="E11" s="21" t="n">
        <v>46295</v>
      </c>
      <c r="F11" s="20" t="inlineStr">
        <is>
          <t>G.29 stops working 29–30 Sep 2026 to repair spreader</t>
        </is>
      </c>
      <c r="G11" s="20"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22" t="inlineStr">
        <is>
          <t>–</t>
        </is>
      </c>
      <c r="E15" s="22" t="inlineStr">
        <is>
          <t>–</t>
        </is>
      </c>
      <c r="F15" s="13" t="inlineStr">
        <is>
          <t>(no longer listed – 29–30 Sep period has ended)</t>
        </is>
      </c>
      <c r="G15" s="13" t="inlineStr">
        <is>
          <t>Dropped from sheet</t>
        </is>
      </c>
    </row>
    <row r="16">
      <c r="A16" s="8" t="n">
        <v>46296</v>
      </c>
      <c r="B16" s="9" t="inlineStr">
        <is>
          <t>20C</t>
        </is>
      </c>
      <c r="C16" s="9" t="inlineStr">
        <is>
          <t>Berth closed</t>
        </is>
      </c>
      <c r="D16" s="23" t="inlineStr">
        <is>
          <t>–</t>
        </is>
      </c>
      <c r="E16" s="10" t="n">
        <v>46298</v>
      </c>
      <c r="F16" s="9" t="inlineStr">
        <is>
          <t>Wharf will be utilised on 3 Oct (sheet prints 2027, treated as a typo)</t>
        </is>
      </c>
      <c r="G16" s="9" t="inlineStr">
        <is>
          <t>Unchanged</t>
        </is>
      </c>
    </row>
    <row r="17">
      <c r="A17" s="8" t="n">
        <v>46296</v>
      </c>
      <c r="B17" s="9" t="inlineStr">
        <is>
          <t>20D</t>
        </is>
      </c>
      <c r="C17" s="9" t="inlineStr">
        <is>
          <t>Berth closed</t>
        </is>
      </c>
      <c r="D17" s="10" t="n">
        <v>46298</v>
      </c>
      <c r="E17" s="10" t="n">
        <v>46319</v>
      </c>
      <c r="F17" s="9" t="inlineStr">
        <is>
          <t>Close on 3–24 Oct 2026 to renovate electric channel</t>
        </is>
      </c>
      <c r="G17" s="9" t="inlineStr">
        <is>
          <t>Unchanged</t>
        </is>
      </c>
    </row>
    <row r="18">
      <c r="A18" s="8" t="n">
        <v>46296</v>
      </c>
      <c r="B18" s="9" t="inlineStr">
        <is>
          <t>20E / G.25</t>
        </is>
      </c>
      <c r="C18" s="9" t="inlineStr">
        <is>
          <t>Gate stopped</t>
        </is>
      </c>
      <c r="D18" s="10" t="n">
        <v>46298</v>
      </c>
      <c r="E18" s="10" t="n">
        <v>46313</v>
      </c>
      <c r="F18" s="9" t="inlineStr">
        <is>
          <t>G.25 stops working 3–18 Oct 2026 to change trolley rail</t>
        </is>
      </c>
      <c r="G18" s="9" t="inlineStr">
        <is>
          <t>Unchanged</t>
        </is>
      </c>
    </row>
    <row r="19">
      <c r="A19" s="12" t="n">
        <v>46297</v>
      </c>
      <c r="B19" s="13" t="inlineStr">
        <is>
          <t>20C</t>
        </is>
      </c>
      <c r="C19" s="13" t="inlineStr">
        <is>
          <t>Berth closed</t>
        </is>
      </c>
      <c r="D19" s="22"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9" t="n">
        <v>46298</v>
      </c>
      <c r="B22" s="20" t="inlineStr">
        <is>
          <t>20C</t>
        </is>
      </c>
      <c r="C22" s="20" t="inlineStr">
        <is>
          <t>Berth closed</t>
        </is>
      </c>
      <c r="D22" s="24" t="inlineStr">
        <is>
          <t>–</t>
        </is>
      </c>
      <c r="E22" s="21" t="n">
        <v>46300</v>
      </c>
      <c r="F22" s="20" t="inlineStr">
        <is>
          <t>Wharf will be utilised on 5 Oct 2026</t>
        </is>
      </c>
      <c r="G22" s="20" t="inlineStr">
        <is>
          <t>Unchanged</t>
        </is>
      </c>
    </row>
    <row r="23">
      <c r="A23" s="15" t="n">
        <v>46298</v>
      </c>
      <c r="B23" s="16" t="inlineStr">
        <is>
          <t>20C</t>
        </is>
      </c>
      <c r="C23" s="16" t="inlineStr">
        <is>
          <t>Cable splicing</t>
        </is>
      </c>
      <c r="D23" s="25" t="n">
        <v>46299.375</v>
      </c>
      <c r="E23" s="25"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5" t="n">
        <v>46299.375</v>
      </c>
      <c r="E24" s="25"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5"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9" t="n">
        <v>46299</v>
      </c>
      <c r="B27" s="20" t="inlineStr">
        <is>
          <t>20C</t>
        </is>
      </c>
      <c r="C27" s="20" t="inlineStr">
        <is>
          <t>Berth closed</t>
        </is>
      </c>
      <c r="D27" s="24" t="inlineStr">
        <is>
          <t>–</t>
        </is>
      </c>
      <c r="E27" s="21" t="n">
        <v>46300</v>
      </c>
      <c r="F27" s="20" t="inlineStr">
        <is>
          <t>Wharf will be utilised on 5 Oct (sheet prints 2027, treated as a typo)</t>
        </is>
      </c>
      <c r="G27" s="20"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22" t="inlineStr">
        <is>
          <t>–</t>
        </is>
      </c>
      <c r="E30" s="22"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8" t="n">
        <v>46300</v>
      </c>
      <c r="B32" s="9" t="inlineStr">
        <is>
          <t>20E / G.25</t>
        </is>
      </c>
      <c r="C32" s="9" t="inlineStr">
        <is>
          <t>Gate stopped</t>
        </is>
      </c>
      <c r="D32" s="10" t="n">
        <v>46300</v>
      </c>
      <c r="E32" s="10" t="n">
        <v>46313</v>
      </c>
      <c r="F32" s="9" t="inlineStr">
        <is>
          <t>G.25 stops working 5–18 Oct 2026 to change trolley rail</t>
        </is>
      </c>
      <c r="G32" s="9"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8" t="n">
        <v>46301</v>
      </c>
      <c r="B34" s="9" t="inlineStr">
        <is>
          <t>20E / G.25</t>
        </is>
      </c>
      <c r="C34" s="9" t="inlineStr">
        <is>
          <t>Gate stopped</t>
        </is>
      </c>
      <c r="D34" s="10" t="n">
        <v>46300</v>
      </c>
      <c r="E34" s="10" t="n">
        <v>46313</v>
      </c>
      <c r="F34" s="9" t="inlineStr">
        <is>
          <t>G.25 stops working 5–18 Oct 2026 to change trolley rail (in progress)</t>
        </is>
      </c>
      <c r="G34" s="9"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8" t="n">
        <v>46302</v>
      </c>
      <c r="B36" s="9" t="inlineStr">
        <is>
          <t>20E / G.25</t>
        </is>
      </c>
      <c r="C36" s="9" t="inlineStr">
        <is>
          <t>Gate stopped</t>
        </is>
      </c>
      <c r="D36" s="10" t="n">
        <v>46300</v>
      </c>
      <c r="E36" s="10" t="n">
        <v>46313</v>
      </c>
      <c r="F36" s="9" t="inlineStr">
        <is>
          <t>G.25 stops working 5–18 Oct 2026 to change trolley rail (in progress)</t>
        </is>
      </c>
      <c r="G36" s="9"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8" t="n">
        <v>46303</v>
      </c>
      <c r="B38" s="9" t="inlineStr">
        <is>
          <t>20E / G.25</t>
        </is>
      </c>
      <c r="C38" s="9" t="inlineStr">
        <is>
          <t>Gate stopped</t>
        </is>
      </c>
      <c r="D38" s="10" t="n">
        <v>46300</v>
      </c>
      <c r="E38" s="10" t="n">
        <v>46313</v>
      </c>
      <c r="F38" s="9" t="inlineStr">
        <is>
          <t>G.25 stops working 5–18 Oct 2026 to change trolley rail (in progress)</t>
        </is>
      </c>
      <c r="G38" s="9" t="inlineStr">
        <is>
          <t>Unchanged</t>
        </is>
      </c>
    </row>
  </sheetData>
  <autoFilter ref="A4:G38"/>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3" customWidth="1" min="11" max="11"/>
    <col width="8" customWidth="1" min="12" max="12"/>
    <col width="9" customWidth="1" min="13" max="13"/>
    <col width="22" customWidth="1" min="14" max="14"/>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6" t="inlineStr">
        <is>
          <t>Status as of</t>
        </is>
      </c>
      <c r="B3" s="27" t="n">
        <v>46303.375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Hours Alongside</t>
        </is>
      </c>
      <c r="L5" s="3" t="inlineStr">
        <is>
          <t>Shift</t>
        </is>
      </c>
      <c r="M5" s="3" t="inlineStr">
        <is>
          <t>Marked</t>
        </is>
      </c>
      <c r="N5" s="3" t="inlineStr">
        <is>
          <t>Status (as of cell B3)</t>
        </is>
      </c>
    </row>
    <row r="6">
      <c r="A6" s="4" t="inlineStr">
        <is>
          <t>20AB</t>
        </is>
      </c>
      <c r="B6" s="4" t="inlineStr">
        <is>
          <t>INFINITY</t>
        </is>
      </c>
      <c r="C6" s="23" t="n">
        <v>565</v>
      </c>
      <c r="D6" s="10" t="n">
        <v>46293</v>
      </c>
      <c r="E6" s="10" t="n">
        <v>46294</v>
      </c>
      <c r="F6" s="23" t="n">
        <v>2</v>
      </c>
      <c r="G6" s="5" t="inlineStr">
        <is>
          <t>20AB</t>
        </is>
      </c>
      <c r="H6" s="11" t="n">
        <v>46292.75</v>
      </c>
      <c r="I6" s="11" t="n">
        <v>46293.20833333334</v>
      </c>
      <c r="J6" s="11" t="n">
        <v>46294.625</v>
      </c>
      <c r="K6" s="28">
        <f>(J6-I6)*24</f>
        <v/>
      </c>
      <c r="L6" s="23" t="inlineStr">
        <is>
          <t>–</t>
        </is>
      </c>
      <c r="M6" s="23" t="inlineStr"/>
      <c r="N6" s="23" t="inlineStr">
        <is>
          <t>Sailed</t>
        </is>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8">
        <f>(J7-I7)*24</f>
        <v/>
      </c>
      <c r="L7" s="23" t="inlineStr">
        <is>
          <t>–</t>
        </is>
      </c>
      <c r="M7" s="23" t="inlineStr"/>
      <c r="N7" s="23" t="inlineStr">
        <is>
          <t>Sailed</t>
        </is>
      </c>
    </row>
    <row r="8">
      <c r="A8" s="4" t="inlineStr">
        <is>
          <t>20AB</t>
        </is>
      </c>
      <c r="B8" s="4" t="inlineStr">
        <is>
          <t>CAPE FAWLEY</t>
        </is>
      </c>
      <c r="C8" s="23" t="n">
        <v>558</v>
      </c>
      <c r="D8" s="10" t="n">
        <v>46293</v>
      </c>
      <c r="E8" s="10" t="n">
        <v>46297</v>
      </c>
      <c r="F8" s="23" t="n">
        <v>5</v>
      </c>
      <c r="G8" s="6" t="inlineStr">
        <is>
          <t>20AB → 20C → 20AB</t>
        </is>
      </c>
      <c r="H8" s="11" t="n">
        <v>46295.875</v>
      </c>
      <c r="I8" s="11" t="n">
        <v>46296.25</v>
      </c>
      <c r="J8" s="11" t="n">
        <v>46297.625</v>
      </c>
      <c r="K8" s="28">
        <f>(J8-I8)*24</f>
        <v/>
      </c>
      <c r="L8" s="23" t="inlineStr">
        <is>
          <t>–</t>
        </is>
      </c>
      <c r="M8" s="23" t="inlineStr"/>
      <c r="N8" s="23" t="inlineStr">
        <is>
          <t>Sailed</t>
        </is>
      </c>
    </row>
    <row r="9">
      <c r="A9" s="4" t="inlineStr">
        <is>
          <t>20AB</t>
        </is>
      </c>
      <c r="B9" s="4" t="inlineStr">
        <is>
          <t>RESURGENCE</t>
        </is>
      </c>
      <c r="C9" s="23" t="n">
        <v>458</v>
      </c>
      <c r="D9" s="10" t="n">
        <v>46296</v>
      </c>
      <c r="E9" s="10" t="n">
        <v>46299</v>
      </c>
      <c r="F9" s="23" t="n">
        <v>4</v>
      </c>
      <c r="G9" s="6" t="inlineStr">
        <is>
          <t>20E → 20AB</t>
        </is>
      </c>
      <c r="H9" s="11" t="n">
        <v>46298.5</v>
      </c>
      <c r="I9" s="11" t="n">
        <v>46298.5</v>
      </c>
      <c r="J9" s="11" t="n">
        <v>46299.70833333334</v>
      </c>
      <c r="K9" s="28">
        <f>(J9-I9)*24</f>
        <v/>
      </c>
      <c r="L9" s="23" t="inlineStr">
        <is>
          <t>–</t>
        </is>
      </c>
      <c r="M9" s="23" t="inlineStr"/>
      <c r="N9" s="23" t="inlineStr">
        <is>
          <t>Sailed</t>
        </is>
      </c>
    </row>
    <row r="10">
      <c r="A10" s="4" t="inlineStr">
        <is>
          <t>20AB</t>
        </is>
      </c>
      <c r="B10" s="4" t="inlineStr">
        <is>
          <t>ZHONG GU BEI HAI</t>
        </is>
      </c>
      <c r="C10" s="23" t="n">
        <v>561</v>
      </c>
      <c r="D10" s="10" t="n">
        <v>46296</v>
      </c>
      <c r="E10" s="10" t="n">
        <v>46301</v>
      </c>
      <c r="F10" s="23" t="n">
        <v>6</v>
      </c>
      <c r="G10" s="6" t="inlineStr">
        <is>
          <t>20B → 20AB</t>
        </is>
      </c>
      <c r="H10" s="11" t="n">
        <v>46299.375</v>
      </c>
      <c r="I10" s="11" t="n">
        <v>46299.625</v>
      </c>
      <c r="J10" s="11" t="n">
        <v>46301.45833333334</v>
      </c>
      <c r="K10" s="28">
        <f>(J10-I10)*24</f>
        <v/>
      </c>
      <c r="L10" s="23" t="inlineStr">
        <is>
          <t>–</t>
        </is>
      </c>
      <c r="M10" s="23" t="inlineStr"/>
      <c r="N10" s="23" t="inlineStr">
        <is>
          <t>Sailed</t>
        </is>
      </c>
    </row>
    <row r="11">
      <c r="A11" s="4" t="inlineStr">
        <is>
          <t>20AB</t>
        </is>
      </c>
      <c r="B11" s="4" t="inlineStr">
        <is>
          <t>KMTC TOKYO</t>
        </is>
      </c>
      <c r="C11" s="23" t="n">
        <v>565</v>
      </c>
      <c r="D11" s="10" t="n">
        <v>46299</v>
      </c>
      <c r="E11" s="10" t="n">
        <v>46303</v>
      </c>
      <c r="F11" s="23" t="n">
        <v>5</v>
      </c>
      <c r="G11" s="6" t="inlineStr">
        <is>
          <t>20F → 20AB</t>
        </is>
      </c>
      <c r="H11" s="11" t="n">
        <v>46301.54166666666</v>
      </c>
      <c r="I11" s="11" t="n">
        <v>46301.54166666666</v>
      </c>
      <c r="J11" s="11" t="n">
        <v>46303.5</v>
      </c>
      <c r="K11" s="28">
        <f>(J11-I11)*24</f>
        <v/>
      </c>
      <c r="L11" s="23" t="inlineStr">
        <is>
          <t>–</t>
        </is>
      </c>
      <c r="M11" s="23" t="inlineStr"/>
      <c r="N11" s="23">
        <f>IF(J11&lt;=$B$3,"Sailed",IF(I11&lt;=$B$3,"Alongside",IF(H11&lt;=$B$3,"At anchorage","Expected")))</f>
        <v/>
      </c>
    </row>
    <row r="12">
      <c r="A12" s="4" t="inlineStr">
        <is>
          <t>20AB</t>
        </is>
      </c>
      <c r="B12" s="4" t="inlineStr">
        <is>
          <t>GREEN PARK</t>
        </is>
      </c>
      <c r="C12" s="23" t="n">
        <v>482</v>
      </c>
      <c r="D12" s="10" t="n">
        <v>46300</v>
      </c>
      <c r="E12" s="10" t="n">
        <v>46303</v>
      </c>
      <c r="F12" s="23" t="n">
        <v>4</v>
      </c>
      <c r="G12" s="6" t="inlineStr">
        <is>
          <t>20AB → 20B → 20AB</t>
        </is>
      </c>
      <c r="H12" s="11" t="n">
        <v>46302.41666666666</v>
      </c>
      <c r="I12" s="11" t="n">
        <v>46303.54166666666</v>
      </c>
      <c r="J12" s="11" t="n">
        <v>46304.58333333334</v>
      </c>
      <c r="K12" s="28">
        <f>(J12-I12)*24</f>
        <v/>
      </c>
      <c r="L12" s="23" t="inlineStr">
        <is>
          <t>–</t>
        </is>
      </c>
      <c r="M12" s="23" t="inlineStr"/>
      <c r="N12" s="23">
        <f>IF(J12&lt;=$B$3,"Sailed",IF(I12&lt;=$B$3,"Alongside",IF(H12&lt;=$B$3,"At anchorage","Expected")))</f>
        <v/>
      </c>
    </row>
    <row r="13">
      <c r="A13" s="4" t="inlineStr">
        <is>
          <t>20AB</t>
        </is>
      </c>
      <c r="B13" s="4" t="inlineStr">
        <is>
          <t>KANWAY FORTUNE</t>
        </is>
      </c>
      <c r="C13" s="23" t="n">
        <v>564</v>
      </c>
      <c r="D13" s="10" t="n">
        <v>46301</v>
      </c>
      <c r="E13" s="10" t="n">
        <v>46303</v>
      </c>
      <c r="F13" s="23" t="n">
        <v>3</v>
      </c>
      <c r="G13" s="6" t="inlineStr">
        <is>
          <t>20D → 20F → 20AB</t>
        </is>
      </c>
      <c r="H13" s="11" t="n">
        <v>46303.75</v>
      </c>
      <c r="I13" s="11" t="n">
        <v>46304.58333333334</v>
      </c>
      <c r="J13" s="11" t="n">
        <v>46305.625</v>
      </c>
      <c r="K13" s="28">
        <f>(J13-I13)*24</f>
        <v/>
      </c>
      <c r="L13" s="23" t="inlineStr">
        <is>
          <t>–</t>
        </is>
      </c>
      <c r="M13" s="23" t="inlineStr"/>
      <c r="N13" s="23">
        <f>IF(J13&lt;=$B$3,"Sailed",IF(I13&lt;=$B$3,"Alongside",IF(H13&lt;=$B$3,"At anchorage","Expected")))</f>
        <v/>
      </c>
    </row>
    <row r="14">
      <c r="A14" s="4" t="inlineStr">
        <is>
          <t>20AB</t>
        </is>
      </c>
      <c r="B14" s="4" t="inlineStr">
        <is>
          <t>CNC MARS</t>
        </is>
      </c>
      <c r="C14" s="23" t="n">
        <v>564</v>
      </c>
      <c r="D14" s="10" t="n">
        <v>46302</v>
      </c>
      <c r="E14" s="10" t="n">
        <v>46303</v>
      </c>
      <c r="F14" s="23" t="n">
        <v>2</v>
      </c>
      <c r="G14" s="5" t="inlineStr">
        <is>
          <t>20AB</t>
        </is>
      </c>
      <c r="H14" s="11" t="n">
        <v>46304.91666666666</v>
      </c>
      <c r="I14" s="11" t="n">
        <v>46305.625</v>
      </c>
      <c r="J14" s="11" t="n">
        <v>46306.625</v>
      </c>
      <c r="K14" s="28">
        <f>(J14-I14)*24</f>
        <v/>
      </c>
      <c r="L14" s="23" t="inlineStr">
        <is>
          <t>–</t>
        </is>
      </c>
      <c r="M14" s="23" t="inlineStr"/>
      <c r="N14" s="23">
        <f>IF(J14&lt;=$B$3,"Sailed",IF(I14&lt;=$B$3,"Alongside",IF(H14&lt;=$B$3,"At anchorage","Expected")))</f>
        <v/>
      </c>
    </row>
    <row r="15">
      <c r="A15" s="29" t="inlineStr">
        <is>
          <t>20B</t>
        </is>
      </c>
      <c r="B15" s="29" t="inlineStr">
        <is>
          <t>KMTC GWANGYANG</t>
        </is>
      </c>
      <c r="C15" s="24" t="n">
        <v>564</v>
      </c>
      <c r="D15" s="21" t="n">
        <v>46293</v>
      </c>
      <c r="E15" s="21" t="n">
        <v>46293</v>
      </c>
      <c r="F15" s="24" t="n">
        <v>1</v>
      </c>
      <c r="G15" s="30" t="inlineStr">
        <is>
          <t>20B</t>
        </is>
      </c>
      <c r="H15" s="31" t="n">
        <v>46292.79166666666</v>
      </c>
      <c r="I15" s="31" t="n">
        <v>46292.79166666666</v>
      </c>
      <c r="J15" s="31" t="n">
        <v>46294.20833333334</v>
      </c>
      <c r="K15" s="32">
        <f>(J15-I15)*24</f>
        <v/>
      </c>
      <c r="L15" s="24" t="inlineStr">
        <is>
          <t>–</t>
        </is>
      </c>
      <c r="M15" s="24" t="inlineStr"/>
      <c r="N15" s="24" t="inlineStr">
        <is>
          <t>Sailed</t>
        </is>
      </c>
    </row>
    <row r="16">
      <c r="A16" s="4" t="inlineStr">
        <is>
          <t>20B</t>
        </is>
      </c>
      <c r="B16" s="4" t="inlineStr">
        <is>
          <t>MILLENNIUM BRIGHT</t>
        </is>
      </c>
      <c r="C16" s="23" t="n">
        <v>564</v>
      </c>
      <c r="D16" s="10" t="n">
        <v>46293</v>
      </c>
      <c r="E16" s="10" t="n">
        <v>46294</v>
      </c>
      <c r="F16" s="23" t="n">
        <v>2</v>
      </c>
      <c r="G16" s="5" t="inlineStr">
        <is>
          <t>20B</t>
        </is>
      </c>
      <c r="H16" s="11" t="n">
        <v>46293.45833333334</v>
      </c>
      <c r="I16" s="11" t="n">
        <v>46294.20833333334</v>
      </c>
      <c r="J16" s="11" t="n">
        <v>46295.16666666666</v>
      </c>
      <c r="K16" s="28">
        <f>(J16-I16)*24</f>
        <v/>
      </c>
      <c r="L16" s="23" t="inlineStr">
        <is>
          <t>–</t>
        </is>
      </c>
      <c r="M16" s="23" t="inlineStr"/>
      <c r="N16" s="23" t="inlineStr">
        <is>
          <t>Sailed</t>
        </is>
      </c>
    </row>
    <row r="17">
      <c r="A17" s="4" t="inlineStr">
        <is>
          <t>20B</t>
        </is>
      </c>
      <c r="B17" s="4" t="inlineStr">
        <is>
          <t>M ODYSSEY</t>
        </is>
      </c>
      <c r="C17" s="23" t="n">
        <v>449</v>
      </c>
      <c r="D17" s="10" t="n">
        <v>46293</v>
      </c>
      <c r="E17" s="10" t="n">
        <v>46295</v>
      </c>
      <c r="F17" s="23" t="n">
        <v>3</v>
      </c>
      <c r="G17" s="5" t="inlineStr">
        <is>
          <t>20B</t>
        </is>
      </c>
      <c r="H17" s="11" t="n">
        <v>46295.16666666666</v>
      </c>
      <c r="I17" s="11" t="n">
        <v>46295.20833333334</v>
      </c>
      <c r="J17" s="11" t="n">
        <v>46296.20833333334</v>
      </c>
      <c r="K17" s="28">
        <f>(J17-I17)*24</f>
        <v/>
      </c>
      <c r="L17" s="23" t="inlineStr">
        <is>
          <t>4A</t>
        </is>
      </c>
      <c r="M17" s="23" t="inlineStr"/>
      <c r="N17" s="23" t="inlineStr">
        <is>
          <t>Sailed</t>
        </is>
      </c>
    </row>
    <row r="18">
      <c r="A18" s="33" t="inlineStr">
        <is>
          <t>20B</t>
        </is>
      </c>
      <c r="B18" s="33" t="inlineStr">
        <is>
          <t>KHARIS HERITAGE</t>
        </is>
      </c>
      <c r="C18" s="17" t="n">
        <v>482</v>
      </c>
      <c r="D18" s="18" t="n">
        <v>46294</v>
      </c>
      <c r="E18" s="18" t="n">
        <v>46297</v>
      </c>
      <c r="F18" s="17" t="n">
        <v>4</v>
      </c>
      <c r="G18" s="6" t="inlineStr">
        <is>
          <t>20AB → 20B</t>
        </is>
      </c>
      <c r="H18" s="25" t="n">
        <v>46296.45833333334</v>
      </c>
      <c r="I18" s="25" t="n">
        <v>46296.75</v>
      </c>
      <c r="J18" s="25" t="n">
        <v>46297.70833333334</v>
      </c>
      <c r="K18" s="34">
        <f>(J18-I18)*24</f>
        <v/>
      </c>
      <c r="L18" s="17" t="inlineStr">
        <is>
          <t>–</t>
        </is>
      </c>
      <c r="M18" s="17" t="inlineStr">
        <is>
          <t>Yes</t>
        </is>
      </c>
      <c r="N18" s="17" t="inlineStr">
        <is>
          <t>Sailed</t>
        </is>
      </c>
    </row>
    <row r="19">
      <c r="A19" s="4" t="inlineStr">
        <is>
          <t>20B</t>
        </is>
      </c>
      <c r="B19" s="4" t="inlineStr">
        <is>
          <t>YM IMPROVEMENT</t>
        </is>
      </c>
      <c r="C19" s="23" t="n">
        <v>564</v>
      </c>
      <c r="D19" s="10" t="n">
        <v>46296</v>
      </c>
      <c r="E19" s="10" t="n">
        <v>46300</v>
      </c>
      <c r="F19" s="23" t="n">
        <v>5</v>
      </c>
      <c r="G19" s="6" t="inlineStr">
        <is>
          <t>20C → 20B</t>
        </is>
      </c>
      <c r="H19" s="11" t="n">
        <v>46298.95833333334</v>
      </c>
      <c r="I19" s="11" t="n">
        <v>46299.41666666666</v>
      </c>
      <c r="J19" s="11" t="n">
        <v>46300.5</v>
      </c>
      <c r="K19" s="28">
        <f>(J19-I19)*24</f>
        <v/>
      </c>
      <c r="L19" s="23" t="inlineStr">
        <is>
          <t>–</t>
        </is>
      </c>
      <c r="M19" s="23" t="inlineStr"/>
      <c r="N19" s="23" t="inlineStr">
        <is>
          <t>Sailed</t>
        </is>
      </c>
    </row>
    <row r="20">
      <c r="A20" s="4" t="inlineStr">
        <is>
          <t>20B</t>
        </is>
      </c>
      <c r="B20" s="4" t="inlineStr">
        <is>
          <t>SAWASDEE SPICA</t>
        </is>
      </c>
      <c r="C20" s="23" t="n">
        <v>564</v>
      </c>
      <c r="D20" s="10" t="n">
        <v>46299</v>
      </c>
      <c r="E20" s="10" t="n">
        <v>46303</v>
      </c>
      <c r="F20" s="23" t="n">
        <v>5</v>
      </c>
      <c r="G20" s="5" t="inlineStr">
        <is>
          <t>20B</t>
        </is>
      </c>
      <c r="H20" s="11" t="n">
        <v>46300.875</v>
      </c>
      <c r="I20" s="11" t="n">
        <v>46301.54166666666</v>
      </c>
      <c r="J20" s="11" t="n">
        <v>46303.54166666666</v>
      </c>
      <c r="K20" s="28">
        <f>(J20-I20)*24</f>
        <v/>
      </c>
      <c r="L20" s="23" t="inlineStr">
        <is>
          <t>–</t>
        </is>
      </c>
      <c r="M20" s="23" t="inlineStr"/>
      <c r="N20" s="23">
        <f>IF(J20&lt;=$B$3,"Sailed",IF(I20&lt;=$B$3,"Alongside",IF(H20&lt;=$B$3,"At anchorage","Expected")))</f>
        <v/>
      </c>
    </row>
    <row r="21">
      <c r="A21" s="4" t="inlineStr">
        <is>
          <t>20B</t>
        </is>
      </c>
      <c r="B21" s="4" t="inlineStr">
        <is>
          <t>SITC HOCHIMINH</t>
        </is>
      </c>
      <c r="C21" s="23" t="n">
        <v>470</v>
      </c>
      <c r="D21" s="10" t="n">
        <v>46301</v>
      </c>
      <c r="E21" s="10" t="n">
        <v>46303</v>
      </c>
      <c r="F21" s="23" t="n">
        <v>3</v>
      </c>
      <c r="G21" s="6" t="inlineStr">
        <is>
          <t>20AB → 20B</t>
        </is>
      </c>
      <c r="H21" s="11" t="n">
        <v>46302.625</v>
      </c>
      <c r="I21" s="11" t="n">
        <v>46303.58333333334</v>
      </c>
      <c r="J21" s="11" t="n">
        <v>46304.70833333334</v>
      </c>
      <c r="K21" s="28">
        <f>(J21-I21)*24</f>
        <v/>
      </c>
      <c r="L21" s="23" t="inlineStr">
        <is>
          <t>–</t>
        </is>
      </c>
      <c r="M21" s="23" t="inlineStr"/>
      <c r="N21" s="23">
        <f>IF(J21&lt;=$B$3,"Sailed",IF(I21&lt;=$B$3,"Alongside",IF(H21&lt;=$B$3,"At anchorage","Expected")))</f>
        <v/>
      </c>
    </row>
    <row r="22">
      <c r="A22" s="4" t="inlineStr">
        <is>
          <t>20B</t>
        </is>
      </c>
      <c r="B22" s="4" t="inlineStr">
        <is>
          <t>INDURO</t>
        </is>
      </c>
      <c r="C22" s="23" t="n">
        <v>565</v>
      </c>
      <c r="D22" s="10" t="n">
        <v>46302</v>
      </c>
      <c r="E22" s="10" t="n">
        <v>46303</v>
      </c>
      <c r="F22" s="23" t="n">
        <v>2</v>
      </c>
      <c r="G22" s="5" t="inlineStr">
        <is>
          <t>20B</t>
        </is>
      </c>
      <c r="H22" s="11" t="n">
        <v>46304.375</v>
      </c>
      <c r="I22" s="11" t="n">
        <v>46304.66666666666</v>
      </c>
      <c r="J22" s="11" t="n">
        <v>46306.58333333334</v>
      </c>
      <c r="K22" s="28">
        <f>(J22-I22)*24</f>
        <v/>
      </c>
      <c r="L22" s="23" t="inlineStr">
        <is>
          <t>–</t>
        </is>
      </c>
      <c r="M22" s="23" t="inlineStr"/>
      <c r="N22" s="23">
        <f>IF(J22&lt;=$B$3,"Sailed",IF(I22&lt;=$B$3,"Alongside",IF(H22&lt;=$B$3,"At anchorage","Expected")))</f>
        <v/>
      </c>
    </row>
    <row r="23">
      <c r="A23" s="29" t="inlineStr">
        <is>
          <t>20C</t>
        </is>
      </c>
      <c r="B23" s="29" t="inlineStr">
        <is>
          <t>SAWASDEE DENEB</t>
        </is>
      </c>
      <c r="C23" s="24" t="n">
        <v>564</v>
      </c>
      <c r="D23" s="21" t="n">
        <v>46297</v>
      </c>
      <c r="E23" s="21" t="n">
        <v>46302</v>
      </c>
      <c r="F23" s="24" t="n">
        <v>6</v>
      </c>
      <c r="G23" s="30" t="inlineStr">
        <is>
          <t>20C</t>
        </is>
      </c>
      <c r="H23" s="31" t="n">
        <v>46300</v>
      </c>
      <c r="I23" s="31" t="n">
        <v>46300.5</v>
      </c>
      <c r="J23" s="31" t="n">
        <v>46302.45833333334</v>
      </c>
      <c r="K23" s="32">
        <f>(J23-I23)*24</f>
        <v/>
      </c>
      <c r="L23" s="24" t="inlineStr">
        <is>
          <t>–</t>
        </is>
      </c>
      <c r="M23" s="24" t="inlineStr"/>
      <c r="N23" s="24" t="inlineStr">
        <is>
          <t>Sailed</t>
        </is>
      </c>
    </row>
    <row r="24">
      <c r="A24" s="4" t="inlineStr">
        <is>
          <t>20C</t>
        </is>
      </c>
      <c r="B24" s="4" t="inlineStr">
        <is>
          <t>JOSCO LUCKY</t>
        </is>
      </c>
      <c r="C24" s="23" t="n">
        <v>564</v>
      </c>
      <c r="D24" s="10" t="n">
        <v>46297</v>
      </c>
      <c r="E24" s="10" t="n">
        <v>46303</v>
      </c>
      <c r="F24" s="23" t="n">
        <v>7</v>
      </c>
      <c r="G24" s="6" t="inlineStr">
        <is>
          <t>20B → 20AB → 20D → 20C</t>
        </is>
      </c>
      <c r="H24" s="11" t="n">
        <v>46301.875</v>
      </c>
      <c r="I24" s="11" t="n">
        <v>46302.54166666666</v>
      </c>
      <c r="J24" s="11" t="n">
        <v>46303.54166666666</v>
      </c>
      <c r="K24" s="28">
        <f>(J24-I24)*24</f>
        <v/>
      </c>
      <c r="L24" s="23" t="inlineStr">
        <is>
          <t>–</t>
        </is>
      </c>
      <c r="M24" s="23" t="inlineStr"/>
      <c r="N24" s="23">
        <f>IF(J24&lt;=$B$3,"Sailed",IF(I24&lt;=$B$3,"Alongside",IF(H24&lt;=$B$3,"At anchorage","Expected")))</f>
        <v/>
      </c>
    </row>
    <row r="25">
      <c r="A25" s="4" t="inlineStr">
        <is>
          <t>20C</t>
        </is>
      </c>
      <c r="B25" s="4" t="inlineStr">
        <is>
          <t>ZHONG GU DONG HAI</t>
        </is>
      </c>
      <c r="C25" s="23" t="n">
        <v>564</v>
      </c>
      <c r="D25" s="10" t="n">
        <v>46301</v>
      </c>
      <c r="E25" s="10" t="n">
        <v>46303</v>
      </c>
      <c r="F25" s="23" t="n">
        <v>3</v>
      </c>
      <c r="G25" s="5" t="inlineStr">
        <is>
          <t>20C</t>
        </is>
      </c>
      <c r="H25" s="11" t="n">
        <v>46302.58333333334</v>
      </c>
      <c r="I25" s="11" t="n">
        <v>46303.58333333334</v>
      </c>
      <c r="J25" s="11" t="n">
        <v>46304.58333333334</v>
      </c>
      <c r="K25" s="28">
        <f>(J25-I25)*24</f>
        <v/>
      </c>
      <c r="L25" s="23" t="inlineStr">
        <is>
          <t>–</t>
        </is>
      </c>
      <c r="M25" s="23" t="inlineStr"/>
      <c r="N25" s="23">
        <f>IF(J25&lt;=$B$3,"Sailed",IF(I25&lt;=$B$3,"Alongside",IF(H25&lt;=$B$3,"At anchorage","Expected")))</f>
        <v/>
      </c>
    </row>
    <row r="26">
      <c r="A26" s="4" t="inlineStr">
        <is>
          <t>20C</t>
        </is>
      </c>
      <c r="B26" s="4" t="inlineStr">
        <is>
          <t>YM INCEPTION</t>
        </is>
      </c>
      <c r="C26" s="23" t="n">
        <v>564</v>
      </c>
      <c r="D26" s="10" t="n">
        <v>46301</v>
      </c>
      <c r="E26" s="10" t="n">
        <v>46303</v>
      </c>
      <c r="F26" s="23" t="n">
        <v>3</v>
      </c>
      <c r="G26" s="6" t="inlineStr">
        <is>
          <t>20AB → 20C</t>
        </is>
      </c>
      <c r="H26" s="11" t="n">
        <v>46303.54166666666</v>
      </c>
      <c r="I26" s="11" t="n">
        <v>46304.54166666666</v>
      </c>
      <c r="J26" s="11" t="n">
        <v>46306.04166666666</v>
      </c>
      <c r="K26" s="28">
        <f>(J26-I26)*24</f>
        <v/>
      </c>
      <c r="L26" s="23" t="inlineStr">
        <is>
          <t>–</t>
        </is>
      </c>
      <c r="M26" s="23" t="inlineStr"/>
      <c r="N26" s="23">
        <f>IF(J26&lt;=$B$3,"Sailed",IF(I26&lt;=$B$3,"Alongside",IF(H26&lt;=$B$3,"At anchorage","Expected")))</f>
        <v/>
      </c>
    </row>
    <row r="27">
      <c r="A27" s="4" t="inlineStr">
        <is>
          <t>20C</t>
        </is>
      </c>
      <c r="B27" s="4" t="inlineStr">
        <is>
          <t>STARSHIP AQUILA</t>
        </is>
      </c>
      <c r="C27" s="23" t="n">
        <v>565</v>
      </c>
      <c r="D27" s="10" t="n">
        <v>46303</v>
      </c>
      <c r="E27" s="10" t="n">
        <v>46303</v>
      </c>
      <c r="F27" s="23" t="n">
        <v>1</v>
      </c>
      <c r="G27" s="5" t="inlineStr">
        <is>
          <t>20C</t>
        </is>
      </c>
      <c r="H27" s="11" t="n">
        <v>46304.91666666666</v>
      </c>
      <c r="I27" s="11" t="n">
        <v>46306.16666666666</v>
      </c>
      <c r="J27" s="11" t="n">
        <v>46307.54166666666</v>
      </c>
      <c r="K27" s="28">
        <f>(J27-I27)*24</f>
        <v/>
      </c>
      <c r="L27" s="23" t="inlineStr">
        <is>
          <t>–</t>
        </is>
      </c>
      <c r="M27" s="23" t="inlineStr"/>
      <c r="N27" s="23">
        <f>IF(J27&lt;=$B$3,"Sailed",IF(I27&lt;=$B$3,"Alongside",IF(H27&lt;=$B$3,"At anchorage","Expected")))</f>
        <v/>
      </c>
    </row>
    <row r="28">
      <c r="A28" s="29" t="inlineStr">
        <is>
          <t>20D</t>
        </is>
      </c>
      <c r="B28" s="29" t="inlineStr">
        <is>
          <t>BANGKOK</t>
        </is>
      </c>
      <c r="C28" s="24" t="n">
        <v>551</v>
      </c>
      <c r="D28" s="21" t="n">
        <v>46293</v>
      </c>
      <c r="E28" s="21" t="n">
        <v>46294</v>
      </c>
      <c r="F28" s="24" t="n">
        <v>2</v>
      </c>
      <c r="G28" s="30" t="inlineStr">
        <is>
          <t>20D</t>
        </is>
      </c>
      <c r="H28" s="31" t="n">
        <v>46292.54166666666</v>
      </c>
      <c r="I28" s="31" t="n">
        <v>46292.625</v>
      </c>
      <c r="J28" s="31" t="n">
        <v>46294.58333333334</v>
      </c>
      <c r="K28" s="32">
        <f>(J28-I28)*24</f>
        <v/>
      </c>
      <c r="L28" s="24" t="inlineStr">
        <is>
          <t>–</t>
        </is>
      </c>
      <c r="M28" s="24" t="inlineStr"/>
      <c r="N28" s="24" t="inlineStr">
        <is>
          <t>Sailed</t>
        </is>
      </c>
    </row>
    <row r="29">
      <c r="A29" s="33" t="inlineStr">
        <is>
          <t>20D</t>
        </is>
      </c>
      <c r="B29" s="33" t="inlineStr">
        <is>
          <t>ALS SUMIRE</t>
        </is>
      </c>
      <c r="C29" s="17" t="n">
        <v>537</v>
      </c>
      <c r="D29" s="18" t="n">
        <v>46294</v>
      </c>
      <c r="E29" s="18" t="n">
        <v>46297</v>
      </c>
      <c r="F29" s="17" t="n">
        <v>4</v>
      </c>
      <c r="G29" s="6" t="inlineStr">
        <is>
          <t>20F → 20D</t>
        </is>
      </c>
      <c r="H29" s="25" t="n">
        <v>46296.25</v>
      </c>
      <c r="I29" s="25" t="n">
        <v>46296.66666666666</v>
      </c>
      <c r="J29" s="25" t="n">
        <v>46297.70833333334</v>
      </c>
      <c r="K29" s="34">
        <f>(J29-I29)*24</f>
        <v/>
      </c>
      <c r="L29" s="17" t="inlineStr">
        <is>
          <t>1C</t>
        </is>
      </c>
      <c r="M29" s="17" t="inlineStr">
        <is>
          <t>Yes</t>
        </is>
      </c>
      <c r="N29" s="17" t="inlineStr">
        <is>
          <t>Sailed</t>
        </is>
      </c>
    </row>
    <row r="30">
      <c r="A30" s="4" t="inlineStr">
        <is>
          <t>20D</t>
        </is>
      </c>
      <c r="B30" s="4" t="inlineStr">
        <is>
          <t>HARI BHUM (Barge)</t>
        </is>
      </c>
      <c r="C30" s="23" t="n">
        <v>259</v>
      </c>
      <c r="D30" s="10" t="n">
        <v>46297</v>
      </c>
      <c r="E30" s="10" t="n">
        <v>46298</v>
      </c>
      <c r="F30" s="23" t="n">
        <v>2</v>
      </c>
      <c r="G30" s="5" t="inlineStr">
        <is>
          <t>20D</t>
        </is>
      </c>
      <c r="H30" s="11" t="n">
        <v>46298.20833333334</v>
      </c>
      <c r="I30" s="11" t="n">
        <v>46298.29166666666</v>
      </c>
      <c r="J30" s="11" t="n">
        <v>46298.66666666666</v>
      </c>
      <c r="K30" s="28">
        <f>(J30-I30)*24</f>
        <v/>
      </c>
      <c r="L30" s="23" t="inlineStr">
        <is>
          <t>–</t>
        </is>
      </c>
      <c r="M30" s="23" t="inlineStr"/>
      <c r="N30" s="23" t="inlineStr">
        <is>
          <t>Sailed</t>
        </is>
      </c>
    </row>
    <row r="31">
      <c r="A31" s="4" t="inlineStr">
        <is>
          <t>20D</t>
        </is>
      </c>
      <c r="B31" s="4" t="inlineStr">
        <is>
          <t>MTT BANGKOK</t>
        </is>
      </c>
      <c r="C31" s="23" t="n">
        <v>564</v>
      </c>
      <c r="D31" s="10" t="n">
        <v>46300</v>
      </c>
      <c r="E31" s="10" t="n">
        <v>46303</v>
      </c>
      <c r="F31" s="23" t="n">
        <v>4</v>
      </c>
      <c r="G31" s="5" t="inlineStr">
        <is>
          <t>20D</t>
        </is>
      </c>
      <c r="H31" s="11" t="n">
        <v>46302.54166666666</v>
      </c>
      <c r="I31" s="11" t="n">
        <v>46302.58333333334</v>
      </c>
      <c r="J31" s="11" t="n">
        <v>46304.08333333334</v>
      </c>
      <c r="K31" s="28">
        <f>(J31-I31)*24</f>
        <v/>
      </c>
      <c r="L31" s="23" t="inlineStr">
        <is>
          <t>–</t>
        </is>
      </c>
      <c r="M31" s="23" t="inlineStr"/>
      <c r="N31" s="23">
        <f>IF(J31&lt;=$B$3,"Sailed",IF(I31&lt;=$B$3,"Alongside",IF(H31&lt;=$B$3,"At anchorage","Expected")))</f>
        <v/>
      </c>
    </row>
    <row r="32">
      <c r="A32" s="4" t="inlineStr">
        <is>
          <t>20D</t>
        </is>
      </c>
      <c r="B32" s="4" t="inlineStr">
        <is>
          <t>HE JIN</t>
        </is>
      </c>
      <c r="C32" s="23" t="n">
        <v>552</v>
      </c>
      <c r="D32" s="10" t="n">
        <v>46301</v>
      </c>
      <c r="E32" s="10" t="n">
        <v>46303</v>
      </c>
      <c r="F32" s="23" t="n">
        <v>3</v>
      </c>
      <c r="G32" s="6" t="inlineStr">
        <is>
          <t>20B → 20AB → 22A → 20D</t>
        </is>
      </c>
      <c r="H32" s="11" t="n">
        <v>46304.08333333334</v>
      </c>
      <c r="I32" s="11" t="n">
        <v>46304.08333333334</v>
      </c>
      <c r="J32" s="11" t="n">
        <v>46305.54166666666</v>
      </c>
      <c r="K32" s="28">
        <f>(J32-I32)*24</f>
        <v/>
      </c>
      <c r="L32" s="23" t="inlineStr">
        <is>
          <t>–</t>
        </is>
      </c>
      <c r="M32" s="23" t="inlineStr"/>
      <c r="N32" s="23">
        <f>IF(J32&lt;=$B$3,"Sailed",IF(I32&lt;=$B$3,"Alongside",IF(H32&lt;=$B$3,"At anchorage","Expected")))</f>
        <v/>
      </c>
    </row>
    <row r="33">
      <c r="A33" s="4" t="inlineStr">
        <is>
          <t>20D</t>
        </is>
      </c>
      <c r="B33" s="4" t="inlineStr">
        <is>
          <t>CUL HAIPHONG</t>
        </is>
      </c>
      <c r="C33" s="23" t="n">
        <v>458</v>
      </c>
      <c r="D33" s="10" t="n">
        <v>46302</v>
      </c>
      <c r="E33" s="10" t="n">
        <v>46303</v>
      </c>
      <c r="F33" s="23" t="n">
        <v>2</v>
      </c>
      <c r="G33" s="6" t="inlineStr">
        <is>
          <t>20B → 20D</t>
        </is>
      </c>
      <c r="H33" s="11" t="n">
        <v>46304.83333333334</v>
      </c>
      <c r="I33" s="11" t="n">
        <v>46305.66666666666</v>
      </c>
      <c r="J33" s="11" t="n">
        <v>46306.25</v>
      </c>
      <c r="K33" s="28">
        <f>(J33-I33)*24</f>
        <v/>
      </c>
      <c r="L33" s="23" t="inlineStr">
        <is>
          <t>4A</t>
        </is>
      </c>
      <c r="M33" s="23" t="inlineStr"/>
      <c r="N33" s="23">
        <f>IF(J33&lt;=$B$3,"Sailed",IF(I33&lt;=$B$3,"Alongside",IF(H33&lt;=$B$3,"At anchorage","Expected")))</f>
        <v/>
      </c>
    </row>
    <row r="34">
      <c r="A34" s="4" t="inlineStr">
        <is>
          <t>20D</t>
        </is>
      </c>
      <c r="B34" s="4" t="inlineStr">
        <is>
          <t>INCEDA</t>
        </is>
      </c>
      <c r="C34" s="23" t="n">
        <v>564</v>
      </c>
      <c r="D34" s="10" t="n">
        <v>46303</v>
      </c>
      <c r="E34" s="10" t="n">
        <v>46303</v>
      </c>
      <c r="F34" s="23" t="n">
        <v>1</v>
      </c>
      <c r="G34" s="5" t="inlineStr">
        <is>
          <t>20D</t>
        </is>
      </c>
      <c r="H34" s="11" t="n">
        <v>46305.70833333334</v>
      </c>
      <c r="I34" s="11" t="n">
        <v>46306.20833333334</v>
      </c>
      <c r="J34" s="11" t="n">
        <v>46307.58333333334</v>
      </c>
      <c r="K34" s="28">
        <f>(J34-I34)*24</f>
        <v/>
      </c>
      <c r="L34" s="23" t="inlineStr">
        <is>
          <t>–</t>
        </is>
      </c>
      <c r="M34" s="23" t="inlineStr"/>
      <c r="N34" s="23">
        <f>IF(J34&lt;=$B$3,"Sailed",IF(I34&lt;=$B$3,"Alongside",IF(H34&lt;=$B$3,"At anchorage","Expected")))</f>
        <v/>
      </c>
    </row>
    <row r="35">
      <c r="A35" s="29" t="inlineStr">
        <is>
          <t>20E</t>
        </is>
      </c>
      <c r="B35" s="29" t="inlineStr">
        <is>
          <t>TS CHIBA</t>
        </is>
      </c>
      <c r="C35" s="24" t="n">
        <v>485</v>
      </c>
      <c r="D35" s="21" t="n">
        <v>46293</v>
      </c>
      <c r="E35" s="21" t="n">
        <v>46293</v>
      </c>
      <c r="F35" s="24" t="n">
        <v>1</v>
      </c>
      <c r="G35" s="30" t="inlineStr">
        <is>
          <t>20E</t>
        </is>
      </c>
      <c r="H35" s="31" t="n">
        <v>46293.29166666666</v>
      </c>
      <c r="I35" s="31" t="n">
        <v>46293.29166666666</v>
      </c>
      <c r="J35" s="31" t="n">
        <v>46294.16666666666</v>
      </c>
      <c r="K35" s="32">
        <f>(J35-I35)*24</f>
        <v/>
      </c>
      <c r="L35" s="24" t="inlineStr">
        <is>
          <t>–</t>
        </is>
      </c>
      <c r="M35" s="24" t="inlineStr"/>
      <c r="N35" s="24" t="inlineStr">
        <is>
          <t>Sailed</t>
        </is>
      </c>
    </row>
    <row r="36">
      <c r="A36" s="4" t="inlineStr">
        <is>
          <t>20E</t>
        </is>
      </c>
      <c r="B36" s="4" t="inlineStr">
        <is>
          <t>MITRA BHUM</t>
        </is>
      </c>
      <c r="C36" s="23" t="n">
        <v>485</v>
      </c>
      <c r="D36" s="10" t="n">
        <v>46293</v>
      </c>
      <c r="E36" s="10" t="n">
        <v>46295</v>
      </c>
      <c r="F36" s="23" t="n">
        <v>3</v>
      </c>
      <c r="G36" s="6" t="inlineStr">
        <is>
          <t>20F → 20E</t>
        </is>
      </c>
      <c r="H36" s="11" t="n">
        <v>46295.125</v>
      </c>
      <c r="I36" s="11" t="n">
        <v>46295.20833333334</v>
      </c>
      <c r="J36" s="11" t="n">
        <v>46295.75</v>
      </c>
      <c r="K36" s="28">
        <f>(J36-I36)*24</f>
        <v/>
      </c>
      <c r="L36" s="23" t="inlineStr">
        <is>
          <t>–</t>
        </is>
      </c>
      <c r="M36" s="23" t="inlineStr"/>
      <c r="N36" s="23" t="inlineStr">
        <is>
          <t>Sailed</t>
        </is>
      </c>
    </row>
    <row r="37">
      <c r="A37" s="4" t="inlineStr">
        <is>
          <t>20E</t>
        </is>
      </c>
      <c r="B37" s="4" t="inlineStr">
        <is>
          <t>WAN HAI 278</t>
        </is>
      </c>
      <c r="C37" s="23" t="n">
        <v>564</v>
      </c>
      <c r="D37" s="10" t="n">
        <v>46295</v>
      </c>
      <c r="E37" s="10" t="n">
        <v>46300</v>
      </c>
      <c r="F37" s="23" t="n">
        <v>6</v>
      </c>
      <c r="G37" s="6" t="inlineStr">
        <is>
          <t>20F → 20E</t>
        </is>
      </c>
      <c r="H37" s="11" t="n">
        <v>46297.75</v>
      </c>
      <c r="I37" s="11" t="n">
        <v>46298.41666666666</v>
      </c>
      <c r="J37" s="11" t="n">
        <v>46300.45833333334</v>
      </c>
      <c r="K37" s="28">
        <f>(J37-I37)*24</f>
        <v/>
      </c>
      <c r="L37" s="23" t="inlineStr">
        <is>
          <t>–</t>
        </is>
      </c>
      <c r="M37" s="23" t="inlineStr"/>
      <c r="N37" s="23" t="inlineStr">
        <is>
          <t>Sailed</t>
        </is>
      </c>
    </row>
    <row r="38">
      <c r="A38" s="35" t="inlineStr">
        <is>
          <t>20F</t>
        </is>
      </c>
      <c r="B38" s="35" t="inlineStr">
        <is>
          <t>JARU BHUM</t>
        </is>
      </c>
      <c r="C38" s="22" t="n">
        <v>564</v>
      </c>
      <c r="D38" s="14" t="n">
        <v>46293</v>
      </c>
      <c r="E38" s="14" t="n">
        <v>46293</v>
      </c>
      <c r="F38" s="22" t="n">
        <v>1</v>
      </c>
      <c r="G38" s="36" t="inlineStr">
        <is>
          <t>20F</t>
        </is>
      </c>
      <c r="H38" s="37" t="n">
        <v>46293.33333333334</v>
      </c>
      <c r="I38" s="37" t="n">
        <v>46293.33333333334</v>
      </c>
      <c r="J38" s="37" t="n">
        <v>46294.16666666666</v>
      </c>
      <c r="K38" s="38">
        <f>(J38-I38)*24</f>
        <v/>
      </c>
      <c r="L38" s="22" t="inlineStr">
        <is>
          <t>7B</t>
        </is>
      </c>
      <c r="M38" s="22" t="inlineStr">
        <is>
          <t>Yes</t>
        </is>
      </c>
      <c r="N38" s="22" t="inlineStr">
        <is>
          <t>Sailed</t>
        </is>
      </c>
    </row>
    <row r="39">
      <c r="A39" s="4" t="inlineStr">
        <is>
          <t>20F</t>
        </is>
      </c>
      <c r="B39" s="4" t="inlineStr">
        <is>
          <t>HOPE C</t>
        </is>
      </c>
      <c r="C39" s="23" t="n">
        <v>481</v>
      </c>
      <c r="D39" s="10" t="n">
        <v>46293</v>
      </c>
      <c r="E39" s="10" t="n">
        <v>46295</v>
      </c>
      <c r="F39" s="23" t="n">
        <v>3</v>
      </c>
      <c r="G39" s="6" t="inlineStr">
        <is>
          <t>20E → 20F</t>
        </is>
      </c>
      <c r="H39" s="11" t="n">
        <v>46294.70833333334</v>
      </c>
      <c r="I39" s="11" t="n">
        <v>46294.70833333334</v>
      </c>
      <c r="J39" s="11" t="n">
        <v>46295.66666666666</v>
      </c>
      <c r="K39" s="28">
        <f>(J39-I39)*24</f>
        <v/>
      </c>
      <c r="L39" s="23" t="inlineStr">
        <is>
          <t>–</t>
        </is>
      </c>
      <c r="M39" s="23" t="inlineStr"/>
      <c r="N39" s="23" t="inlineStr">
        <is>
          <t>Sailed</t>
        </is>
      </c>
    </row>
    <row r="40">
      <c r="A40" s="4" t="inlineStr">
        <is>
          <t>20F</t>
        </is>
      </c>
      <c r="B40" s="4" t="inlineStr">
        <is>
          <t>KMTC BANGKOK</t>
        </is>
      </c>
      <c r="C40" s="23" t="n">
        <v>564</v>
      </c>
      <c r="D40" s="10" t="n">
        <v>46295</v>
      </c>
      <c r="E40" s="10" t="n">
        <v>46298</v>
      </c>
      <c r="F40" s="23" t="n">
        <v>4</v>
      </c>
      <c r="G40" s="6" t="inlineStr">
        <is>
          <t>20AB → 20F</t>
        </is>
      </c>
      <c r="H40" s="11" t="n">
        <v>46297.29166666666</v>
      </c>
      <c r="I40" s="11" t="n">
        <v>46297.45833333334</v>
      </c>
      <c r="J40" s="11" t="n">
        <v>46298.70833333334</v>
      </c>
      <c r="K40" s="28">
        <f>(J40-I40)*24</f>
        <v/>
      </c>
      <c r="L40" s="23" t="inlineStr">
        <is>
          <t>–</t>
        </is>
      </c>
      <c r="M40" s="23" t="inlineStr"/>
      <c r="N40" s="23" t="inlineStr">
        <is>
          <t>Sailed</t>
        </is>
      </c>
    </row>
    <row r="41">
      <c r="A41" s="4" t="inlineStr">
        <is>
          <t>20F</t>
        </is>
      </c>
      <c r="B41" s="4" t="inlineStr">
        <is>
          <t>XIN MING ZHOU 98</t>
        </is>
      </c>
      <c r="C41" s="23" t="n">
        <v>564</v>
      </c>
      <c r="D41" s="10" t="n">
        <v>46297</v>
      </c>
      <c r="E41" s="10" t="n">
        <v>46299</v>
      </c>
      <c r="F41" s="23" t="n">
        <v>3</v>
      </c>
      <c r="G41" s="5" t="inlineStr">
        <is>
          <t>20F</t>
        </is>
      </c>
      <c r="H41" s="11" t="n">
        <v>46299.375</v>
      </c>
      <c r="I41" s="11" t="n">
        <v>46299.375</v>
      </c>
      <c r="J41" s="11" t="n">
        <v>46300.375</v>
      </c>
      <c r="K41" s="28">
        <f>(J41-I41)*24</f>
        <v/>
      </c>
      <c r="L41" s="23" t="inlineStr">
        <is>
          <t>–</t>
        </is>
      </c>
      <c r="M41" s="23" t="inlineStr"/>
      <c r="N41" s="23" t="inlineStr">
        <is>
          <t>Sailed</t>
        </is>
      </c>
    </row>
    <row r="42">
      <c r="A42" s="4" t="inlineStr">
        <is>
          <t>20F</t>
        </is>
      </c>
      <c r="B42" s="4" t="inlineStr">
        <is>
          <t>XIN AN</t>
        </is>
      </c>
      <c r="C42" s="23" t="n">
        <v>564</v>
      </c>
      <c r="D42" s="10" t="n">
        <v>46300</v>
      </c>
      <c r="E42" s="10" t="n">
        <v>46303</v>
      </c>
      <c r="F42" s="23" t="n">
        <v>4</v>
      </c>
      <c r="G42" s="5" t="inlineStr">
        <is>
          <t>20F</t>
        </is>
      </c>
      <c r="H42" s="11" t="n">
        <v>46302.54166666666</v>
      </c>
      <c r="I42" s="11" t="n">
        <v>46302.58333333334</v>
      </c>
      <c r="J42" s="11" t="n">
        <v>46304.54166666666</v>
      </c>
      <c r="K42" s="28">
        <f>(J42-I42)*24</f>
        <v/>
      </c>
      <c r="L42" s="23" t="inlineStr">
        <is>
          <t>–</t>
        </is>
      </c>
      <c r="M42" s="23" t="inlineStr"/>
      <c r="N42" s="23">
        <f>IF(J42&lt;=$B$3,"Sailed",IF(I42&lt;=$B$3,"Alongside",IF(H42&lt;=$B$3,"At anchorage","Expected")))</f>
        <v/>
      </c>
    </row>
    <row r="43">
      <c r="A43" s="4" t="inlineStr">
        <is>
          <t>20F</t>
        </is>
      </c>
      <c r="B43" s="4" t="inlineStr">
        <is>
          <t>SAWASDEE ATLANTIC</t>
        </is>
      </c>
      <c r="C43" s="23" t="n">
        <v>564</v>
      </c>
      <c r="D43" s="10" t="n">
        <v>46300</v>
      </c>
      <c r="E43" s="10" t="n">
        <v>46303</v>
      </c>
      <c r="F43" s="23" t="n">
        <v>4</v>
      </c>
      <c r="G43" s="6" t="inlineStr">
        <is>
          <t>20C → 20D → 20F</t>
        </is>
      </c>
      <c r="H43" s="11" t="n">
        <v>46302.83333333334</v>
      </c>
      <c r="I43" s="11" t="n">
        <v>46304.625</v>
      </c>
      <c r="J43" s="11" t="n">
        <v>46306.125</v>
      </c>
      <c r="K43" s="28">
        <f>(J43-I43)*24</f>
        <v/>
      </c>
      <c r="L43" s="23" t="inlineStr">
        <is>
          <t>–</t>
        </is>
      </c>
      <c r="M43" s="23" t="inlineStr"/>
      <c r="N43" s="23">
        <f>IF(J43&lt;=$B$3,"Sailed",IF(I43&lt;=$B$3,"Alongside",IF(H43&lt;=$B$3,"At anchorage","Expected")))</f>
        <v/>
      </c>
    </row>
    <row r="44">
      <c r="A44" s="4" t="inlineStr">
        <is>
          <t>20F</t>
        </is>
      </c>
      <c r="B44" s="4" t="inlineStr">
        <is>
          <t>XIN MING ZHOU 102</t>
        </is>
      </c>
      <c r="C44" s="23" t="n">
        <v>564</v>
      </c>
      <c r="D44" s="10" t="n">
        <v>46302</v>
      </c>
      <c r="E44" s="10" t="n">
        <v>46303</v>
      </c>
      <c r="F44" s="23" t="n">
        <v>2</v>
      </c>
      <c r="G44" s="5" t="inlineStr">
        <is>
          <t>20F</t>
        </is>
      </c>
      <c r="H44" s="11" t="n">
        <v>46305.875</v>
      </c>
      <c r="I44" s="11" t="n">
        <v>46306.20833333334</v>
      </c>
      <c r="J44" s="11" t="n">
        <v>46307.08333333334</v>
      </c>
      <c r="K44" s="28">
        <f>(J44-I44)*24</f>
        <v/>
      </c>
      <c r="L44" s="23" t="inlineStr">
        <is>
          <t>–</t>
        </is>
      </c>
      <c r="M44" s="23" t="inlineStr"/>
      <c r="N44" s="23">
        <f>IF(J44&lt;=$B$3,"Sailed",IF(I44&lt;=$B$3,"Alongside",IF(H44&lt;=$B$3,"At anchorage","Expected")))</f>
        <v/>
      </c>
    </row>
    <row r="46">
      <c r="A46" s="2" t="inlineStr">
        <is>
          <t>39 vessels in total. Orange cells: marked on sheet, or the vessel changed berth.</t>
        </is>
      </c>
    </row>
  </sheetData>
  <autoFilter ref="A5:N44"/>
  <mergeCells count="1">
    <mergeCell ref="A2:N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46293.29166666666</v>
      </c>
      <c r="E4" s="11" t="n">
        <v>46293.29166666666</v>
      </c>
      <c r="F4" s="11" t="n">
        <v>46294.625</v>
      </c>
      <c r="G4" s="28">
        <f>(F4-E4)*24</f>
        <v/>
      </c>
      <c r="H4" s="23" t="inlineStr">
        <is>
          <t>–</t>
        </is>
      </c>
      <c r="I4" s="23" t="inlineStr"/>
    </row>
    <row r="5">
      <c r="A5" s="5" t="inlineStr">
        <is>
          <t>20AB</t>
        </is>
      </c>
      <c r="B5" s="5" t="inlineStr">
        <is>
          <t>SKY CHALLENGE</t>
        </is>
      </c>
      <c r="C5" s="23" t="n">
        <v>565</v>
      </c>
      <c r="D5" s="11" t="n">
        <v>46294.45833333334</v>
      </c>
      <c r="E5" s="11" t="n">
        <v>46294.66666666666</v>
      </c>
      <c r="F5" s="11" t="n">
        <v>46296.16666666666</v>
      </c>
      <c r="G5" s="28">
        <f>(F5-E5)*24</f>
        <v/>
      </c>
      <c r="H5" s="23" t="inlineStr">
        <is>
          <t>–</t>
        </is>
      </c>
      <c r="I5" s="23" t="inlineStr"/>
    </row>
    <row r="6">
      <c r="A6" s="5" t="inlineStr">
        <is>
          <t>20AB</t>
        </is>
      </c>
      <c r="B6" s="5" t="inlineStr">
        <is>
          <t>CAPE FAWLEY</t>
        </is>
      </c>
      <c r="C6" s="23" t="n">
        <v>558</v>
      </c>
      <c r="D6" s="11" t="n">
        <v>46295.875</v>
      </c>
      <c r="E6" s="11" t="n">
        <v>46296.25</v>
      </c>
      <c r="F6" s="11" t="n">
        <v>46297.25</v>
      </c>
      <c r="G6" s="28">
        <f>(F6-E6)*24</f>
        <v/>
      </c>
      <c r="H6" s="23" t="inlineStr">
        <is>
          <t>–</t>
        </is>
      </c>
      <c r="I6" s="23" t="inlineStr"/>
    </row>
    <row r="7">
      <c r="A7" s="5" t="inlineStr">
        <is>
          <t>20B</t>
        </is>
      </c>
      <c r="B7" s="5" t="inlineStr">
        <is>
          <t>KMTC GWANGYANG</t>
        </is>
      </c>
      <c r="C7" s="23" t="n">
        <v>564</v>
      </c>
      <c r="D7" s="11" t="n">
        <v>46292.79166666666</v>
      </c>
      <c r="E7" s="11" t="n">
        <v>46292.79166666666</v>
      </c>
      <c r="F7" s="11" t="n">
        <v>46294.20833333334</v>
      </c>
      <c r="G7" s="28">
        <f>(F7-E7)*24</f>
        <v/>
      </c>
      <c r="H7" s="23" t="inlineStr">
        <is>
          <t>–</t>
        </is>
      </c>
      <c r="I7" s="23" t="inlineStr"/>
    </row>
    <row r="8">
      <c r="A8" s="5" t="inlineStr">
        <is>
          <t>20B</t>
        </is>
      </c>
      <c r="B8" s="5" t="inlineStr">
        <is>
          <t>MILLENNIUM BRIGHT</t>
        </is>
      </c>
      <c r="C8" s="23" t="n">
        <v>564</v>
      </c>
      <c r="D8" s="11" t="n">
        <v>46293.45833333334</v>
      </c>
      <c r="E8" s="11" t="n">
        <v>46294.20833333334</v>
      </c>
      <c r="F8" s="11" t="n">
        <v>46295.16666666666</v>
      </c>
      <c r="G8" s="28">
        <f>(F8-E8)*24</f>
        <v/>
      </c>
      <c r="H8" s="23" t="inlineStr">
        <is>
          <t>–</t>
        </is>
      </c>
      <c r="I8" s="23" t="inlineStr"/>
    </row>
    <row r="9">
      <c r="A9" s="5" t="inlineStr">
        <is>
          <t>20B</t>
        </is>
      </c>
      <c r="B9" s="5" t="inlineStr">
        <is>
          <t>M ODYSSEY</t>
        </is>
      </c>
      <c r="C9" s="23" t="n">
        <v>449</v>
      </c>
      <c r="D9" s="11" t="n">
        <v>46295.16666666666</v>
      </c>
      <c r="E9" s="11" t="n">
        <v>46295.20833333334</v>
      </c>
      <c r="F9" s="11" t="n">
        <v>46296.70833333334</v>
      </c>
      <c r="G9" s="28">
        <f>(F9-E9)*24</f>
        <v/>
      </c>
      <c r="H9" s="23" t="inlineStr">
        <is>
          <t>4A</t>
        </is>
      </c>
      <c r="I9" s="23" t="inlineStr"/>
    </row>
    <row r="10">
      <c r="A10" s="5" t="inlineStr">
        <is>
          <t>20D</t>
        </is>
      </c>
      <c r="B10" s="5" t="inlineStr">
        <is>
          <t>BANGKOK</t>
        </is>
      </c>
      <c r="C10" s="23" t="n">
        <v>551</v>
      </c>
      <c r="D10" s="11" t="n">
        <v>46292.625</v>
      </c>
      <c r="E10" s="11" t="n">
        <v>46292.625</v>
      </c>
      <c r="F10" s="11" t="n">
        <v>46294.58333333334</v>
      </c>
      <c r="G10" s="28">
        <f>(F10-E10)*24</f>
        <v/>
      </c>
      <c r="H10" s="23" t="inlineStr">
        <is>
          <t>–</t>
        </is>
      </c>
      <c r="I10" s="23" t="inlineStr"/>
    </row>
    <row r="11">
      <c r="A11" s="5" t="inlineStr">
        <is>
          <t>20E</t>
        </is>
      </c>
      <c r="B11" s="5" t="inlineStr">
        <is>
          <t>TS CHIBA</t>
        </is>
      </c>
      <c r="C11" s="23" t="n">
        <v>485</v>
      </c>
      <c r="D11" s="11" t="n">
        <v>46293.29166666666</v>
      </c>
      <c r="E11" s="11" t="n">
        <v>46293.29166666666</v>
      </c>
      <c r="F11" s="11" t="n">
        <v>46294.16666666666</v>
      </c>
      <c r="G11" s="28">
        <f>(F11-E11)*24</f>
        <v/>
      </c>
      <c r="H11" s="23" t="inlineStr">
        <is>
          <t>–</t>
        </is>
      </c>
      <c r="I11" s="23" t="inlineStr"/>
    </row>
    <row r="12">
      <c r="A12" s="5" t="inlineStr">
        <is>
          <t>20E</t>
        </is>
      </c>
      <c r="B12" s="5" t="inlineStr">
        <is>
          <t>HOPE C</t>
        </is>
      </c>
      <c r="C12" s="23" t="n">
        <v>481</v>
      </c>
      <c r="D12" s="11" t="n">
        <v>46294.70833333334</v>
      </c>
      <c r="E12" s="11" t="n">
        <v>46294.70833333334</v>
      </c>
      <c r="F12" s="11" t="n">
        <v>46296.20833333334</v>
      </c>
      <c r="G12" s="28">
        <f>(F12-E12)*24</f>
        <v/>
      </c>
      <c r="H12" s="23" t="inlineStr">
        <is>
          <t>–</t>
        </is>
      </c>
      <c r="I12" s="23" t="inlineStr"/>
    </row>
    <row r="13">
      <c r="A13" s="6" t="inlineStr">
        <is>
          <t>20F</t>
        </is>
      </c>
      <c r="B13" s="6" t="inlineStr">
        <is>
          <t>JARU BHUM</t>
        </is>
      </c>
      <c r="C13" s="17" t="n">
        <v>564</v>
      </c>
      <c r="D13" s="25" t="n">
        <v>46293.33333333334</v>
      </c>
      <c r="E13" s="25" t="n">
        <v>46293.33333333334</v>
      </c>
      <c r="F13" s="25" t="n">
        <v>46294.16666666666</v>
      </c>
      <c r="G13" s="34">
        <f>(F13-E13)*24</f>
        <v/>
      </c>
      <c r="H13" s="17" t="inlineStr">
        <is>
          <t>7B</t>
        </is>
      </c>
      <c r="I13" s="17" t="inlineStr">
        <is>
          <t>Yes</t>
        </is>
      </c>
    </row>
    <row r="14">
      <c r="A14" s="5" t="inlineStr">
        <is>
          <t>20F</t>
        </is>
      </c>
      <c r="B14" s="5" t="inlineStr">
        <is>
          <t>MITRA BHUM</t>
        </is>
      </c>
      <c r="C14" s="23" t="n">
        <v>485</v>
      </c>
      <c r="D14" s="11" t="n">
        <v>46294.95833333334</v>
      </c>
      <c r="E14" s="11" t="n">
        <v>46295.20833333334</v>
      </c>
      <c r="F14" s="11" t="n">
        <v>46295.75</v>
      </c>
      <c r="G14" s="28">
        <f>(F14-E14)*24</f>
        <v/>
      </c>
      <c r="H14" s="23" t="inlineStr">
        <is>
          <t>–</t>
        </is>
      </c>
      <c r="I14" s="23" t="inlineStr"/>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9" t="inlineStr">
        <is>
          <t>20C</t>
        </is>
      </c>
      <c r="B19" s="9" t="inlineStr">
        <is>
          <t>Berth closed</t>
        </is>
      </c>
      <c r="C19" s="42" t="n"/>
      <c r="D19" s="10" t="n">
        <v>46212</v>
      </c>
      <c r="E19" s="10" t="n">
        <v>46295</v>
      </c>
      <c r="F19" s="9" t="inlineStr">
        <is>
          <t>20C closed 9 Jul – 30 Sep 2026 (cable track repair)  —  First sheet in the log</t>
        </is>
      </c>
      <c r="G19" s="42" t="n"/>
      <c r="H19" s="42" t="n"/>
      <c r="I19" s="42" t="n"/>
    </row>
    <row r="20" ht="42" customHeight="1">
      <c r="A20" s="9" t="inlineStr">
        <is>
          <t>20D</t>
        </is>
      </c>
      <c r="B20" s="9" t="inlineStr">
        <is>
          <t>Cable splicing</t>
        </is>
      </c>
      <c r="C20" s="42" t="n"/>
      <c r="D20" s="11" t="n">
        <v>46295.35416666666</v>
      </c>
      <c r="E20" s="11" t="n">
        <v>46295.6875</v>
      </c>
      <c r="F20" s="9" t="inlineStr">
        <is>
          <t>20D 30 Sep 08:30–16:30 (cable splicing)  —  First sheet in the log</t>
        </is>
      </c>
      <c r="G20" s="42" t="n"/>
      <c r="H20" s="42" t="n"/>
      <c r="I20" s="42" t="n"/>
    </row>
  </sheetData>
  <mergeCells count="3">
    <mergeCell ref="F19:I19"/>
    <mergeCell ref="F18:I18"/>
    <mergeCell ref="F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46292.75</v>
      </c>
      <c r="E4" s="11" t="n">
        <v>46293.20833333334</v>
      </c>
      <c r="F4" s="11" t="n">
        <v>46294.625</v>
      </c>
      <c r="G4" s="28">
        <f>(F4-E4)*24</f>
        <v/>
      </c>
      <c r="H4" s="23" t="inlineStr">
        <is>
          <t>–</t>
        </is>
      </c>
      <c r="I4" s="23" t="inlineStr"/>
    </row>
    <row r="5">
      <c r="A5" s="5" t="inlineStr">
        <is>
          <t>20AB</t>
        </is>
      </c>
      <c r="B5" s="5" t="inlineStr">
        <is>
          <t>SKY CHALLENGE</t>
        </is>
      </c>
      <c r="C5" s="23" t="n">
        <v>565</v>
      </c>
      <c r="D5" s="11" t="n">
        <v>46294.33333333334</v>
      </c>
      <c r="E5" s="11" t="n">
        <v>46294.66666666666</v>
      </c>
      <c r="F5" s="11" t="n">
        <v>46296.16666666666</v>
      </c>
      <c r="G5" s="28">
        <f>(F5-E5)*24</f>
        <v/>
      </c>
      <c r="H5" s="23" t="inlineStr">
        <is>
          <t>–</t>
        </is>
      </c>
      <c r="I5" s="23" t="inlineStr"/>
    </row>
    <row r="6">
      <c r="A6" s="5" t="inlineStr">
        <is>
          <t>20AB</t>
        </is>
      </c>
      <c r="B6" s="5" t="inlineStr">
        <is>
          <t>KHARIS HERITAGE</t>
        </is>
      </c>
      <c r="C6" s="23" t="n">
        <v>482</v>
      </c>
      <c r="D6" s="11" t="n">
        <v>46296.29166666666</v>
      </c>
      <c r="E6" s="11" t="n">
        <v>46296.29166666666</v>
      </c>
      <c r="F6" s="11" t="n">
        <v>46297.25</v>
      </c>
      <c r="G6" s="28">
        <f>(F6-E6)*24</f>
        <v/>
      </c>
      <c r="H6" s="23" t="inlineStr">
        <is>
          <t>–</t>
        </is>
      </c>
      <c r="I6" s="23" t="inlineStr"/>
    </row>
    <row r="7">
      <c r="A7" s="5" t="inlineStr">
        <is>
          <t>20B</t>
        </is>
      </c>
      <c r="B7" s="5" t="inlineStr">
        <is>
          <t>MILLENNIUM BRIGHT</t>
        </is>
      </c>
      <c r="C7" s="23" t="n">
        <v>564</v>
      </c>
      <c r="D7" s="11" t="n">
        <v>46293.45833333334</v>
      </c>
      <c r="E7" s="11" t="n">
        <v>46294.20833333334</v>
      </c>
      <c r="F7" s="11" t="n">
        <v>46295.16666666666</v>
      </c>
      <c r="G7" s="28">
        <f>(F7-E7)*24</f>
        <v/>
      </c>
      <c r="H7" s="23" t="inlineStr">
        <is>
          <t>–</t>
        </is>
      </c>
      <c r="I7" s="23" t="inlineStr"/>
    </row>
    <row r="8">
      <c r="A8" s="5" t="inlineStr">
        <is>
          <t>20B</t>
        </is>
      </c>
      <c r="B8" s="5" t="inlineStr">
        <is>
          <t>M ODYSSEY</t>
        </is>
      </c>
      <c r="C8" s="23" t="n">
        <v>449</v>
      </c>
      <c r="D8" s="11" t="n">
        <v>46295.16666666666</v>
      </c>
      <c r="E8" s="11" t="n">
        <v>46295.20833333334</v>
      </c>
      <c r="F8" s="11" t="n">
        <v>46296.20833333334</v>
      </c>
      <c r="G8" s="28">
        <f>(F8-E8)*24</f>
        <v/>
      </c>
      <c r="H8" s="23" t="inlineStr">
        <is>
          <t>4A</t>
        </is>
      </c>
      <c r="I8" s="23" t="inlineStr"/>
    </row>
    <row r="9">
      <c r="A9" s="5" t="inlineStr">
        <is>
          <t>20C</t>
        </is>
      </c>
      <c r="B9" s="5" t="inlineStr">
        <is>
          <t>CAPE FAWLEY</t>
        </is>
      </c>
      <c r="C9" s="23" t="n">
        <v>558</v>
      </c>
      <c r="D9" s="11" t="n">
        <v>46295.875</v>
      </c>
      <c r="E9" s="11" t="n">
        <v>46296.25</v>
      </c>
      <c r="F9" s="11" t="n">
        <v>46297.25</v>
      </c>
      <c r="G9" s="28">
        <f>(F9-E9)*24</f>
        <v/>
      </c>
      <c r="H9" s="23" t="inlineStr">
        <is>
          <t>–</t>
        </is>
      </c>
      <c r="I9" s="23" t="inlineStr"/>
    </row>
    <row r="10">
      <c r="A10" s="5" t="inlineStr">
        <is>
          <t>20D</t>
        </is>
      </c>
      <c r="B10" s="5" t="inlineStr">
        <is>
          <t>BANGKOK</t>
        </is>
      </c>
      <c r="C10" s="23" t="n">
        <v>551</v>
      </c>
      <c r="D10" s="11" t="n">
        <v>46292.54166666666</v>
      </c>
      <c r="E10" s="11" t="n">
        <v>46292.625</v>
      </c>
      <c r="F10" s="11" t="n">
        <v>46294.58333333334</v>
      </c>
      <c r="G10" s="28">
        <f>(F10-E10)*24</f>
        <v/>
      </c>
      <c r="H10" s="23" t="inlineStr">
        <is>
          <t>–</t>
        </is>
      </c>
      <c r="I10" s="23" t="inlineStr"/>
    </row>
    <row r="11">
      <c r="A11" s="5" t="inlineStr">
        <is>
          <t>20E</t>
        </is>
      </c>
      <c r="B11" s="5" t="inlineStr">
        <is>
          <t>MITRA BHUM</t>
        </is>
      </c>
      <c r="C11" s="23" t="n">
        <v>485</v>
      </c>
      <c r="D11" s="11" t="n">
        <v>46295.125</v>
      </c>
      <c r="E11" s="11" t="n">
        <v>46295.20833333334</v>
      </c>
      <c r="F11" s="11" t="n">
        <v>46295.75</v>
      </c>
      <c r="G11" s="28">
        <f>(F11-E11)*24</f>
        <v/>
      </c>
      <c r="H11" s="23" t="inlineStr">
        <is>
          <t>–</t>
        </is>
      </c>
      <c r="I11" s="23" t="inlineStr"/>
    </row>
    <row r="12">
      <c r="A12" s="5" t="inlineStr">
        <is>
          <t>20F</t>
        </is>
      </c>
      <c r="B12" s="5" t="inlineStr">
        <is>
          <t>HOPE C</t>
        </is>
      </c>
      <c r="C12" s="23" t="n">
        <v>481</v>
      </c>
      <c r="D12" s="11" t="n">
        <v>46294.70833333334</v>
      </c>
      <c r="E12" s="11" t="n">
        <v>46294.70833333334</v>
      </c>
      <c r="F12" s="11" t="n">
        <v>46295.66666666666</v>
      </c>
      <c r="G12" s="28">
        <f>(F12-E12)*24</f>
        <v/>
      </c>
      <c r="H12" s="23" t="inlineStr">
        <is>
          <t>–</t>
        </is>
      </c>
      <c r="I12" s="23" t="inlineStr"/>
    </row>
    <row r="13">
      <c r="A13" s="5" t="inlineStr">
        <is>
          <t>20F</t>
        </is>
      </c>
      <c r="B13" s="5" t="inlineStr">
        <is>
          <t>ALS SUMIRE</t>
        </is>
      </c>
      <c r="C13" s="23" t="n">
        <v>537</v>
      </c>
      <c r="D13" s="11" t="n">
        <v>46296.54166666666</v>
      </c>
      <c r="E13" s="11" t="n">
        <v>46296.70833333334</v>
      </c>
      <c r="F13" s="11" t="n">
        <v>46297.70833333334</v>
      </c>
      <c r="G13" s="28">
        <f>(F13-E13)*24</f>
        <v/>
      </c>
      <c r="H13" s="23" t="inlineStr">
        <is>
          <t>1C</t>
        </is>
      </c>
      <c r="I13" s="23" t="inlineStr"/>
    </row>
    <row r="16">
      <c r="A16" s="39"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40" t="n"/>
      <c r="H17" s="40" t="n"/>
      <c r="I17" s="41" t="n"/>
    </row>
    <row r="18" ht="42" customHeight="1">
      <c r="A18" s="16" t="inlineStr">
        <is>
          <t>20AB / G.29</t>
        </is>
      </c>
      <c r="B18" s="16" t="inlineStr">
        <is>
          <t>Gate stopped</t>
        </is>
      </c>
      <c r="C18" s="43" t="n"/>
      <c r="D18" s="18" t="n">
        <v>46294</v>
      </c>
      <c r="E18" s="18" t="n">
        <v>46295</v>
      </c>
      <c r="F18" s="16" t="inlineStr">
        <is>
          <t>G.29 stops working 29–30 Sep 2026 to repair spreader  —  New</t>
        </is>
      </c>
      <c r="G18" s="43" t="n"/>
      <c r="H18" s="43" t="n"/>
      <c r="I18" s="43" t="n"/>
    </row>
    <row r="19" ht="42" customHeight="1">
      <c r="A19" s="16" t="inlineStr">
        <is>
          <t>20C</t>
        </is>
      </c>
      <c r="B19" s="16" t="inlineStr">
        <is>
          <t>Berth closed</t>
        </is>
      </c>
      <c r="C19" s="43" t="n"/>
      <c r="D19" s="17" t="inlineStr">
        <is>
          <t>–</t>
        </is>
      </c>
      <c r="E19" s="18" t="n">
        <v>46296</v>
      </c>
      <c r="F19" s="16" t="inlineStr">
        <is>
          <t>Wharf will be utilised on 1 Oct 2026  —  Reopening moved 30 Sep → 1 Oct</t>
        </is>
      </c>
      <c r="G19" s="43" t="n"/>
      <c r="H19" s="43" t="n"/>
      <c r="I19" s="43" t="n"/>
    </row>
    <row r="20" ht="42" customHeight="1">
      <c r="A20" s="16" t="inlineStr">
        <is>
          <t>20D</t>
        </is>
      </c>
      <c r="B20" s="16" t="inlineStr">
        <is>
          <t>Berth closed</t>
        </is>
      </c>
      <c r="C20" s="43" t="n"/>
      <c r="D20" s="18" t="n">
        <v>46296</v>
      </c>
      <c r="E20" s="18" t="n">
        <v>46316</v>
      </c>
      <c r="F20" s="16" t="inlineStr">
        <is>
          <t>Close on 1–21 Oct 2026 to renovate electric channel  —  New (replaces the 30 Sep splicing notice)</t>
        </is>
      </c>
      <c r="G20" s="43" t="n"/>
      <c r="H20" s="43" t="n"/>
      <c r="I20" s="43" t="n"/>
    </row>
    <row r="21" ht="42" customHeight="1">
      <c r="A21" s="16" t="inlineStr">
        <is>
          <t>20E / G.25</t>
        </is>
      </c>
      <c r="B21" s="16" t="inlineStr">
        <is>
          <t>Gate stopped</t>
        </is>
      </c>
      <c r="C21" s="43" t="n"/>
      <c r="D21" s="18" t="n">
        <v>46296</v>
      </c>
      <c r="E21" s="18" t="n">
        <v>46310</v>
      </c>
      <c r="F21" s="16" t="inlineStr">
        <is>
          <t>G.25 stops working 1–15 Oct 2026 to change trolley rail  —  New</t>
        </is>
      </c>
      <c r="G21" s="43" t="n"/>
      <c r="H21" s="43" t="n"/>
      <c r="I21" s="43" t="n"/>
    </row>
  </sheetData>
  <mergeCells count="5">
    <mergeCell ref="F18:I18"/>
    <mergeCell ref="F17:I17"/>
    <mergeCell ref="F21:I21"/>
    <mergeCell ref="F19:I19"/>
    <mergeCell ref="F20:I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SKY CHALLENGE</t>
        </is>
      </c>
      <c r="C4" s="23" t="n">
        <v>565</v>
      </c>
      <c r="D4" s="11" t="n">
        <v>46294.33333333334</v>
      </c>
      <c r="E4" s="11" t="n">
        <v>46294.66666666666</v>
      </c>
      <c r="F4" s="11" t="n">
        <v>46296.16666666666</v>
      </c>
      <c r="G4" s="28">
        <f>(F4-E4)*24</f>
        <v/>
      </c>
      <c r="H4" s="23" t="inlineStr">
        <is>
          <t>–</t>
        </is>
      </c>
      <c r="I4" s="23" t="inlineStr"/>
    </row>
    <row r="5">
      <c r="A5" s="5" t="inlineStr">
        <is>
          <t>20AB</t>
        </is>
      </c>
      <c r="B5" s="5" t="inlineStr">
        <is>
          <t>CAPE FAWLEY</t>
        </is>
      </c>
      <c r="C5" s="23" t="n">
        <v>558</v>
      </c>
      <c r="D5" s="11" t="n">
        <v>46295.875</v>
      </c>
      <c r="E5" s="11" t="n">
        <v>46296.25</v>
      </c>
      <c r="F5" s="11" t="n">
        <v>46297.25</v>
      </c>
      <c r="G5" s="28">
        <f>(F5-E5)*24</f>
        <v/>
      </c>
      <c r="H5" s="23" t="inlineStr">
        <is>
          <t>–</t>
        </is>
      </c>
      <c r="I5" s="23" t="inlineStr"/>
    </row>
    <row r="6">
      <c r="A6" s="5" t="inlineStr">
        <is>
          <t>20AB</t>
        </is>
      </c>
      <c r="B6" s="5" t="inlineStr">
        <is>
          <t>KMTC BANGKOK</t>
        </is>
      </c>
      <c r="C6" s="23" t="n">
        <v>565</v>
      </c>
      <c r="D6" s="11" t="n">
        <v>46297.25</v>
      </c>
      <c r="E6" s="11" t="n">
        <v>46297.33333333334</v>
      </c>
      <c r="F6" s="11" t="n">
        <v>46298.70833333334</v>
      </c>
      <c r="G6" s="28">
        <f>(F6-E6)*24</f>
        <v/>
      </c>
      <c r="H6" s="23" t="inlineStr">
        <is>
          <t>–</t>
        </is>
      </c>
      <c r="I6" s="23" t="inlineStr"/>
    </row>
    <row r="7">
      <c r="A7" s="5" t="inlineStr">
        <is>
          <t>20B</t>
        </is>
      </c>
      <c r="B7" s="5" t="inlineStr">
        <is>
          <t>M ODYSSEY</t>
        </is>
      </c>
      <c r="C7" s="23" t="n">
        <v>449</v>
      </c>
      <c r="D7" s="11" t="n">
        <v>46295.16666666666</v>
      </c>
      <c r="E7" s="11" t="n">
        <v>46295.20833333334</v>
      </c>
      <c r="F7" s="11" t="n">
        <v>46296.20833333334</v>
      </c>
      <c r="G7" s="28">
        <f>(F7-E7)*24</f>
        <v/>
      </c>
      <c r="H7" s="23" t="inlineStr">
        <is>
          <t>4A</t>
        </is>
      </c>
      <c r="I7" s="23" t="inlineStr"/>
    </row>
    <row r="8">
      <c r="A8" s="6" t="inlineStr">
        <is>
          <t>20B</t>
        </is>
      </c>
      <c r="B8" s="6" t="inlineStr">
        <is>
          <t>KHARIS HERITAGE</t>
        </is>
      </c>
      <c r="C8" s="17" t="n">
        <v>482</v>
      </c>
      <c r="D8" s="25" t="n">
        <v>46296.45833333334</v>
      </c>
      <c r="E8" s="25" t="n">
        <v>46296.70833333334</v>
      </c>
      <c r="F8" s="25" t="n">
        <v>46297.70833333334</v>
      </c>
      <c r="G8" s="34">
        <f>(F8-E8)*24</f>
        <v/>
      </c>
      <c r="H8" s="17" t="inlineStr">
        <is>
          <t>–</t>
        </is>
      </c>
      <c r="I8" s="17" t="inlineStr">
        <is>
          <t>Yes</t>
        </is>
      </c>
    </row>
    <row r="9">
      <c r="A9" s="6" t="inlineStr">
        <is>
          <t>20D</t>
        </is>
      </c>
      <c r="B9" s="6" t="inlineStr">
        <is>
          <t>ALS SUMIRE</t>
        </is>
      </c>
      <c r="C9" s="17" t="n">
        <v>537</v>
      </c>
      <c r="D9" s="25" t="n">
        <v>46296.70833333334</v>
      </c>
      <c r="E9" s="25" t="n">
        <v>46296.70833333334</v>
      </c>
      <c r="F9" s="25" t="n">
        <v>46297.70833333334</v>
      </c>
      <c r="G9" s="34">
        <f>(F9-E9)*24</f>
        <v/>
      </c>
      <c r="H9" s="17" t="inlineStr">
        <is>
          <t>1C</t>
        </is>
      </c>
      <c r="I9" s="17" t="inlineStr">
        <is>
          <t>Yes</t>
        </is>
      </c>
    </row>
    <row r="10">
      <c r="A10" s="5" t="inlineStr">
        <is>
          <t>20E</t>
        </is>
      </c>
      <c r="B10" s="5" t="inlineStr">
        <is>
          <t>MITRA BHUM</t>
        </is>
      </c>
      <c r="C10" s="23" t="n">
        <v>485</v>
      </c>
      <c r="D10" s="11" t="n">
        <v>46295.125</v>
      </c>
      <c r="E10" s="11" t="n">
        <v>46295.20833333334</v>
      </c>
      <c r="F10" s="11" t="n">
        <v>46295.75</v>
      </c>
      <c r="G10" s="28">
        <f>(F10-E10)*24</f>
        <v/>
      </c>
      <c r="H10" s="23" t="inlineStr">
        <is>
          <t>–</t>
        </is>
      </c>
      <c r="I10" s="23" t="inlineStr"/>
    </row>
    <row r="11">
      <c r="A11" s="5" t="inlineStr">
        <is>
          <t>20F</t>
        </is>
      </c>
      <c r="B11" s="5" t="inlineStr">
        <is>
          <t>HOPE C</t>
        </is>
      </c>
      <c r="C11" s="23" t="n">
        <v>481</v>
      </c>
      <c r="D11" s="11" t="n">
        <v>46294.70833333334</v>
      </c>
      <c r="E11" s="11" t="n">
        <v>46294.70833333334</v>
      </c>
      <c r="F11" s="11" t="n">
        <v>46295.66666666666</v>
      </c>
      <c r="G11" s="28">
        <f>(F11-E11)*24</f>
        <v/>
      </c>
      <c r="H11" s="23" t="inlineStr">
        <is>
          <t>–</t>
        </is>
      </c>
      <c r="I11" s="23" t="inlineStr"/>
    </row>
    <row r="12">
      <c r="A12" s="5" t="inlineStr">
        <is>
          <t>20F</t>
        </is>
      </c>
      <c r="B12" s="5" t="inlineStr">
        <is>
          <t>WAN HAI 278</t>
        </is>
      </c>
      <c r="C12" s="23" t="n">
        <v>564</v>
      </c>
      <c r="D12" s="11" t="n">
        <v>46297.375</v>
      </c>
      <c r="E12" s="11" t="n">
        <v>46297.375</v>
      </c>
      <c r="F12" s="11" t="n">
        <v>46299.41666666666</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20AB / G.29</t>
        </is>
      </c>
      <c r="B17" s="9" t="inlineStr">
        <is>
          <t>Gate stopped</t>
        </is>
      </c>
      <c r="C17" s="42" t="n"/>
      <c r="D17" s="10" t="n">
        <v>46294</v>
      </c>
      <c r="E17" s="10" t="n">
        <v>46295</v>
      </c>
      <c r="F17" s="9" t="inlineStr">
        <is>
          <t>G.29 stops working 29–30 Sep 2026 to repair spreader  —  Unchanged</t>
        </is>
      </c>
      <c r="G17" s="42" t="n"/>
      <c r="H17" s="42" t="n"/>
      <c r="I17" s="42" t="n"/>
    </row>
    <row r="18" ht="42" customHeight="1">
      <c r="A18" s="16" t="inlineStr">
        <is>
          <t>20C</t>
        </is>
      </c>
      <c r="B18" s="16" t="inlineStr">
        <is>
          <t>Berth closed</t>
        </is>
      </c>
      <c r="C18" s="43" t="n"/>
      <c r="D18" s="17" t="inlineStr">
        <is>
          <t>–</t>
        </is>
      </c>
      <c r="E18" s="18" t="n">
        <v>46298</v>
      </c>
      <c r="F18" s="16" t="inlineStr">
        <is>
          <t>Wharf will be utilised on 3 Oct 2026  —  Slipped: reopening 1 Oct → 3 Oct</t>
        </is>
      </c>
      <c r="G18" s="43" t="n"/>
      <c r="H18" s="43" t="n"/>
      <c r="I18" s="43" t="n"/>
    </row>
    <row r="19" ht="42" customHeight="1">
      <c r="A19" s="16" t="inlineStr">
        <is>
          <t>20D</t>
        </is>
      </c>
      <c r="B19" s="16" t="inlineStr">
        <is>
          <t>Berth closed</t>
        </is>
      </c>
      <c r="C19" s="43" t="n"/>
      <c r="D19" s="18" t="n">
        <v>46298</v>
      </c>
      <c r="E19" s="18" t="n">
        <v>46319</v>
      </c>
      <c r="F19" s="16" t="inlineStr">
        <is>
          <t>Close on 3–24 Oct 2026 to renovate electric channel  —  Slipped: 1–21 Oct → 3–24 Oct</t>
        </is>
      </c>
      <c r="G19" s="43" t="n"/>
      <c r="H19" s="43" t="n"/>
      <c r="I19" s="43" t="n"/>
    </row>
    <row r="20" ht="42" customHeight="1">
      <c r="A20" s="16" t="inlineStr">
        <is>
          <t>20E / G.25</t>
        </is>
      </c>
      <c r="B20" s="16" t="inlineStr">
        <is>
          <t>Gate stopped</t>
        </is>
      </c>
      <c r="C20" s="43" t="n"/>
      <c r="D20" s="18" t="n">
        <v>46298</v>
      </c>
      <c r="E20" s="18" t="n">
        <v>46313</v>
      </c>
      <c r="F20" s="16" t="inlineStr">
        <is>
          <t>G.25 stops working 3–18 Oct 2026 to change trolley rail  —  Slipped: 1–15 Oct → 3–18 Oct</t>
        </is>
      </c>
      <c r="G20" s="43" t="n"/>
      <c r="H20" s="43" t="n"/>
      <c r="I20" s="43" t="n"/>
    </row>
  </sheetData>
  <mergeCells count="5">
    <mergeCell ref="F18:I18"/>
    <mergeCell ref="F17:I17"/>
    <mergeCell ref="F16:I16"/>
    <mergeCell ref="F19:I19"/>
    <mergeCell ref="F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46297.25</v>
      </c>
      <c r="G4" s="28">
        <f>(F4-E4)*24</f>
        <v/>
      </c>
      <c r="H4" s="23" t="inlineStr">
        <is>
          <t>–</t>
        </is>
      </c>
      <c r="I4" s="23" t="inlineStr"/>
    </row>
    <row r="5">
      <c r="A5" s="5" t="inlineStr">
        <is>
          <t>20AB</t>
        </is>
      </c>
      <c r="B5" s="5" t="inlineStr">
        <is>
          <t>KMTC BANGKOK</t>
        </is>
      </c>
      <c r="C5" s="23" t="n">
        <v>565</v>
      </c>
      <c r="D5" s="11" t="n">
        <v>46297.25</v>
      </c>
      <c r="E5" s="11" t="n">
        <v>46297.33333333334</v>
      </c>
      <c r="F5" s="11" t="n">
        <v>46298.70833333334</v>
      </c>
      <c r="G5" s="28">
        <f>(F5-E5)*24</f>
        <v/>
      </c>
      <c r="H5" s="23" t="inlineStr">
        <is>
          <t>–</t>
        </is>
      </c>
      <c r="I5" s="23" t="inlineStr"/>
    </row>
    <row r="6">
      <c r="A6" s="6" t="inlineStr">
        <is>
          <t>20B</t>
        </is>
      </c>
      <c r="B6" s="6" t="inlineStr">
        <is>
          <t>KHARIS HERITAGE</t>
        </is>
      </c>
      <c r="C6" s="17" t="n">
        <v>482</v>
      </c>
      <c r="D6" s="25" t="n">
        <v>46296.5</v>
      </c>
      <c r="E6" s="25" t="n">
        <v>46296.70833333334</v>
      </c>
      <c r="F6" s="25" t="n">
        <v>46297.70833333334</v>
      </c>
      <c r="G6" s="34">
        <f>(F6-E6)*24</f>
        <v/>
      </c>
      <c r="H6" s="17" t="inlineStr">
        <is>
          <t>–</t>
        </is>
      </c>
      <c r="I6" s="17" t="inlineStr">
        <is>
          <t>Yes</t>
        </is>
      </c>
    </row>
    <row r="7">
      <c r="A7" s="5" t="inlineStr">
        <is>
          <t>20B</t>
        </is>
      </c>
      <c r="B7" s="5" t="inlineStr">
        <is>
          <t>ZHONG GU BEI HAI</t>
        </is>
      </c>
      <c r="C7" s="23" t="n">
        <v>561</v>
      </c>
      <c r="D7" s="11" t="n">
        <v>46298.91666666666</v>
      </c>
      <c r="E7" s="11" t="n">
        <v>46299.375</v>
      </c>
      <c r="F7" s="11" t="n">
        <v>46300.66666666666</v>
      </c>
      <c r="G7" s="28">
        <f>(F7-E7)*24</f>
        <v/>
      </c>
      <c r="H7" s="23" t="inlineStr">
        <is>
          <t>–</t>
        </is>
      </c>
      <c r="I7" s="23" t="inlineStr"/>
    </row>
    <row r="8">
      <c r="A8" s="5" t="inlineStr">
        <is>
          <t>20C</t>
        </is>
      </c>
      <c r="B8" s="5" t="inlineStr">
        <is>
          <t>YM IMPROVEMENT</t>
        </is>
      </c>
      <c r="C8" s="23" t="n">
        <v>564</v>
      </c>
      <c r="D8" s="11" t="n">
        <v>46298.83333333334</v>
      </c>
      <c r="E8" s="11" t="n">
        <v>46298.83333333334</v>
      </c>
      <c r="F8" s="11" t="n">
        <v>46300.41666666666</v>
      </c>
      <c r="G8" s="28">
        <f>(F8-E8)*24</f>
        <v/>
      </c>
      <c r="H8" s="23" t="inlineStr">
        <is>
          <t>–</t>
        </is>
      </c>
      <c r="I8" s="23" t="inlineStr"/>
    </row>
    <row r="9">
      <c r="A9" s="6" t="inlineStr">
        <is>
          <t>20D</t>
        </is>
      </c>
      <c r="B9" s="6" t="inlineStr">
        <is>
          <t>ALS SUMIRE</t>
        </is>
      </c>
      <c r="C9" s="17" t="n">
        <v>537</v>
      </c>
      <c r="D9" s="25" t="n">
        <v>46296.70833333334</v>
      </c>
      <c r="E9" s="25" t="n">
        <v>46296.70833333334</v>
      </c>
      <c r="F9" s="25" t="n">
        <v>46297.70833333334</v>
      </c>
      <c r="G9" s="34">
        <f>(F9-E9)*24</f>
        <v/>
      </c>
      <c r="H9" s="17" t="inlineStr">
        <is>
          <t>1C</t>
        </is>
      </c>
      <c r="I9" s="17" t="inlineStr">
        <is>
          <t>Yes</t>
        </is>
      </c>
    </row>
    <row r="10">
      <c r="A10" s="5" t="inlineStr">
        <is>
          <t>20E</t>
        </is>
      </c>
      <c r="B10" s="5" t="inlineStr">
        <is>
          <t>RESURGENCE</t>
        </is>
      </c>
      <c r="C10" s="23" t="n">
        <v>458</v>
      </c>
      <c r="D10" s="11" t="n">
        <v>46298.75</v>
      </c>
      <c r="E10" s="11" t="n">
        <v>46298.75</v>
      </c>
      <c r="F10" s="11" t="n">
        <v>46299.83333333334</v>
      </c>
      <c r="G10" s="28">
        <f>(F10-E10)*24</f>
        <v/>
      </c>
      <c r="H10" s="23" t="inlineStr">
        <is>
          <t>–</t>
        </is>
      </c>
      <c r="I10" s="23" t="inlineStr"/>
    </row>
    <row r="11">
      <c r="A11" s="5" t="inlineStr">
        <is>
          <t>20F</t>
        </is>
      </c>
      <c r="B11" s="5" t="inlineStr">
        <is>
          <t>WAN HAI 278</t>
        </is>
      </c>
      <c r="C11" s="23" t="n">
        <v>564</v>
      </c>
      <c r="D11" s="11" t="n">
        <v>46297.375</v>
      </c>
      <c r="E11" s="11" t="n">
        <v>46297.375</v>
      </c>
      <c r="F11" s="11" t="n">
        <v>46299.41666666666</v>
      </c>
      <c r="G11" s="28">
        <f>(F11-E11)*24</f>
        <v/>
      </c>
      <c r="H11" s="23" t="inlineStr">
        <is>
          <t>–</t>
        </is>
      </c>
      <c r="I11" s="23" t="inlineStr"/>
    </row>
    <row r="14">
      <c r="A14" s="39"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40" t="n"/>
      <c r="H15" s="40" t="n"/>
      <c r="I15" s="41" t="n"/>
    </row>
    <row r="16" ht="42" customHeight="1">
      <c r="A16" s="16" t="inlineStr">
        <is>
          <t>20AB / G.29</t>
        </is>
      </c>
      <c r="B16" s="16" t="inlineStr">
        <is>
          <t>Gate stopped</t>
        </is>
      </c>
      <c r="C16" s="43" t="n"/>
      <c r="D16" s="17" t="inlineStr">
        <is>
          <t>–</t>
        </is>
      </c>
      <c r="E16" s="17" t="inlineStr">
        <is>
          <t>–</t>
        </is>
      </c>
      <c r="F16" s="16" t="inlineStr">
        <is>
          <t>(no longer listed – 29–30 Sep period has ended)  —  Dropped from sheet</t>
        </is>
      </c>
      <c r="G16" s="43" t="n"/>
      <c r="H16" s="43" t="n"/>
      <c r="I16" s="43" t="n"/>
    </row>
    <row r="17" ht="42" customHeight="1">
      <c r="A17" s="9" t="inlineStr">
        <is>
          <t>20C</t>
        </is>
      </c>
      <c r="B17" s="9" t="inlineStr">
        <is>
          <t>Berth closed</t>
        </is>
      </c>
      <c r="C17" s="42" t="n"/>
      <c r="D17" s="23" t="inlineStr">
        <is>
          <t>–</t>
        </is>
      </c>
      <c r="E17" s="10" t="n">
        <v>46298</v>
      </c>
      <c r="F17" s="9" t="inlineStr">
        <is>
          <t>Wharf will be utilised on 3 Oct (sheet prints 2027, treated as a typo)  —  Unchanged</t>
        </is>
      </c>
      <c r="G17" s="42" t="n"/>
      <c r="H17" s="42" t="n"/>
      <c r="I17" s="42" t="n"/>
    </row>
    <row r="18" ht="42" customHeight="1">
      <c r="A18" s="9" t="inlineStr">
        <is>
          <t>20D</t>
        </is>
      </c>
      <c r="B18" s="9" t="inlineStr">
        <is>
          <t>Berth closed</t>
        </is>
      </c>
      <c r="C18" s="42" t="n"/>
      <c r="D18" s="10" t="n">
        <v>46298</v>
      </c>
      <c r="E18" s="10" t="n">
        <v>46319</v>
      </c>
      <c r="F18" s="9" t="inlineStr">
        <is>
          <t>Close on 3–24 Oct 2026 to renovate electric channel  —  Unchanged</t>
        </is>
      </c>
      <c r="G18" s="42" t="n"/>
      <c r="H18" s="42" t="n"/>
      <c r="I18" s="42" t="n"/>
    </row>
    <row r="19" ht="42" customHeight="1">
      <c r="A19" s="9" t="inlineStr">
        <is>
          <t>20E / G.25</t>
        </is>
      </c>
      <c r="B19" s="9" t="inlineStr">
        <is>
          <t>Gate stopped</t>
        </is>
      </c>
      <c r="C19" s="42" t="n"/>
      <c r="D19" s="10" t="n">
        <v>46298</v>
      </c>
      <c r="E19" s="10" t="n">
        <v>46313</v>
      </c>
      <c r="F19" s="9" t="inlineStr">
        <is>
          <t>G.25 stops working 3–18 Oct 2026 to change trolley rail  —  Unchanged</t>
        </is>
      </c>
      <c r="G19" s="42" t="n"/>
      <c r="H19" s="42" t="n"/>
      <c r="I19" s="42" t="n"/>
    </row>
  </sheetData>
  <mergeCells count="5">
    <mergeCell ref="F18:I18"/>
    <mergeCell ref="F17:I17"/>
    <mergeCell ref="F15:I15"/>
    <mergeCell ref="F16:I16"/>
    <mergeCell ref="F19:I1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46297.625</v>
      </c>
      <c r="G4" s="28">
        <f>(F4-E4)*24</f>
        <v/>
      </c>
      <c r="H4" s="23" t="inlineStr">
        <is>
          <t>–</t>
        </is>
      </c>
      <c r="I4" s="23" t="inlineStr"/>
    </row>
    <row r="5">
      <c r="A5" s="5" t="inlineStr">
        <is>
          <t>20AB</t>
        </is>
      </c>
      <c r="B5" s="5" t="inlineStr">
        <is>
          <t>RESURGENCE</t>
        </is>
      </c>
      <c r="C5" s="23" t="n">
        <v>458</v>
      </c>
      <c r="D5" s="11" t="n">
        <v>46298.54166666666</v>
      </c>
      <c r="E5" s="11" t="n">
        <v>46298.54166666666</v>
      </c>
      <c r="F5" s="11" t="n">
        <v>46299.5</v>
      </c>
      <c r="G5" s="28">
        <f>(F5-E5)*24</f>
        <v/>
      </c>
      <c r="H5" s="23" t="inlineStr">
        <is>
          <t>–</t>
        </is>
      </c>
      <c r="I5" s="23" t="inlineStr"/>
    </row>
    <row r="6">
      <c r="A6" s="5" t="inlineStr">
        <is>
          <t>20AB</t>
        </is>
      </c>
      <c r="B6" s="5" t="inlineStr">
        <is>
          <t>ZHONG GU BEI HAI</t>
        </is>
      </c>
      <c r="C6" s="23" t="n">
        <v>561</v>
      </c>
      <c r="D6" s="11" t="n">
        <v>46299.375</v>
      </c>
      <c r="E6" s="11" t="n">
        <v>46299.45833333334</v>
      </c>
      <c r="F6" s="11" t="n">
        <v>46301.45833333334</v>
      </c>
      <c r="G6" s="28">
        <f>(F6-E6)*24</f>
        <v/>
      </c>
      <c r="H6" s="23" t="inlineStr">
        <is>
          <t>–</t>
        </is>
      </c>
      <c r="I6" s="23" t="inlineStr"/>
    </row>
    <row r="7">
      <c r="A7" s="6" t="inlineStr">
        <is>
          <t>20B</t>
        </is>
      </c>
      <c r="B7" s="6" t="inlineStr">
        <is>
          <t>KHARIS HERITAGE</t>
        </is>
      </c>
      <c r="C7" s="17" t="n">
        <v>482</v>
      </c>
      <c r="D7" s="25" t="n">
        <v>46296.45833333334</v>
      </c>
      <c r="E7" s="25" t="n">
        <v>46296.75</v>
      </c>
      <c r="F7" s="25" t="n">
        <v>46297.70833333334</v>
      </c>
      <c r="G7" s="34">
        <f>(F7-E7)*24</f>
        <v/>
      </c>
      <c r="H7" s="17" t="inlineStr">
        <is>
          <t>–</t>
        </is>
      </c>
      <c r="I7" s="17" t="inlineStr">
        <is>
          <t>Yes</t>
        </is>
      </c>
    </row>
    <row r="8">
      <c r="A8" s="5" t="inlineStr">
        <is>
          <t>20B</t>
        </is>
      </c>
      <c r="B8" s="5" t="inlineStr">
        <is>
          <t>YM IMPROVEMENT</t>
        </is>
      </c>
      <c r="C8" s="23" t="n">
        <v>564</v>
      </c>
      <c r="D8" s="11" t="n">
        <v>46298.83333333334</v>
      </c>
      <c r="E8" s="11" t="n">
        <v>46298.83333333334</v>
      </c>
      <c r="F8" s="11" t="n">
        <v>46300.41666666666</v>
      </c>
      <c r="G8" s="28">
        <f>(F8-E8)*24</f>
        <v/>
      </c>
      <c r="H8" s="23" t="inlineStr">
        <is>
          <t>–</t>
        </is>
      </c>
      <c r="I8" s="23" t="inlineStr"/>
    </row>
    <row r="9">
      <c r="A9" s="5" t="inlineStr">
        <is>
          <t>20B</t>
        </is>
      </c>
      <c r="B9" s="5" t="inlineStr">
        <is>
          <t>JOSCO LUCKY</t>
        </is>
      </c>
      <c r="C9" s="23" t="n">
        <v>564</v>
      </c>
      <c r="D9" s="11" t="n">
        <v>46300.91666666666</v>
      </c>
      <c r="E9" s="11" t="n">
        <v>46301.5</v>
      </c>
      <c r="F9" s="11" t="n">
        <v>46302.54166666666</v>
      </c>
      <c r="G9" s="28">
        <f>(F9-E9)*24</f>
        <v/>
      </c>
      <c r="H9" s="23" t="inlineStr">
        <is>
          <t>–</t>
        </is>
      </c>
      <c r="I9" s="23" t="inlineStr"/>
    </row>
    <row r="10">
      <c r="A10" s="5" t="inlineStr">
        <is>
          <t>20C</t>
        </is>
      </c>
      <c r="B10" s="5" t="inlineStr">
        <is>
          <t>SAWASDEE DENEB</t>
        </is>
      </c>
      <c r="C10" s="23" t="n">
        <v>564</v>
      </c>
      <c r="D10" s="11" t="n">
        <v>46300</v>
      </c>
      <c r="E10" s="11" t="n">
        <v>46300.5</v>
      </c>
      <c r="F10" s="11" t="n">
        <v>46302.5</v>
      </c>
      <c r="G10" s="28">
        <f>(F10-E10)*24</f>
        <v/>
      </c>
      <c r="H10" s="23" t="inlineStr">
        <is>
          <t>–</t>
        </is>
      </c>
      <c r="I10" s="23" t="inlineStr"/>
    </row>
    <row r="11">
      <c r="A11" s="6" t="inlineStr">
        <is>
          <t>20D</t>
        </is>
      </c>
      <c r="B11" s="6" t="inlineStr">
        <is>
          <t>ALS SUMIRE</t>
        </is>
      </c>
      <c r="C11" s="17" t="n">
        <v>537</v>
      </c>
      <c r="D11" s="25" t="n">
        <v>46296.25</v>
      </c>
      <c r="E11" s="25" t="n">
        <v>46296.66666666666</v>
      </c>
      <c r="F11" s="25" t="n">
        <v>46297.70833333334</v>
      </c>
      <c r="G11" s="34">
        <f>(F11-E11)*24</f>
        <v/>
      </c>
      <c r="H11" s="17" t="inlineStr">
        <is>
          <t>1C</t>
        </is>
      </c>
      <c r="I11" s="17" t="inlineStr">
        <is>
          <t>Yes</t>
        </is>
      </c>
    </row>
    <row r="12">
      <c r="A12" s="5" t="inlineStr">
        <is>
          <t>20D</t>
        </is>
      </c>
      <c r="B12" s="5" t="inlineStr">
        <is>
          <t>HARI BHUM (Barge)</t>
        </is>
      </c>
      <c r="C12" s="23" t="n">
        <v>259</v>
      </c>
      <c r="D12" s="11" t="n">
        <v>46298.20833333334</v>
      </c>
      <c r="E12" s="11" t="n">
        <v>46298.20833333334</v>
      </c>
      <c r="F12" s="11" t="n">
        <v>46298.66666666666</v>
      </c>
      <c r="G12" s="28">
        <f>(F12-E12)*24</f>
        <v/>
      </c>
      <c r="H12" s="23" t="inlineStr">
        <is>
          <t>–</t>
        </is>
      </c>
      <c r="I12" s="23" t="inlineStr"/>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5" t="inlineStr">
        <is>
          <t>20F</t>
        </is>
      </c>
      <c r="B14" s="5" t="inlineStr">
        <is>
          <t>KMTC BANGKOK</t>
        </is>
      </c>
      <c r="C14" s="23" t="n">
        <v>565</v>
      </c>
      <c r="D14" s="11" t="n">
        <v>46297.29166666666</v>
      </c>
      <c r="E14" s="11" t="n">
        <v>46297.33333333334</v>
      </c>
      <c r="F14" s="11" t="n">
        <v>46298.70833333334</v>
      </c>
      <c r="G14" s="28">
        <f>(F14-E14)*24</f>
        <v/>
      </c>
      <c r="H14" s="23" t="inlineStr">
        <is>
          <t>–</t>
        </is>
      </c>
      <c r="I14" s="23" t="inlineStr"/>
    </row>
    <row r="15">
      <c r="A15" s="5" t="inlineStr">
        <is>
          <t>20F</t>
        </is>
      </c>
      <c r="B15" s="5" t="inlineStr">
        <is>
          <t>XIN MING ZHOU 98</t>
        </is>
      </c>
      <c r="C15" s="23" t="n">
        <v>564</v>
      </c>
      <c r="D15" s="11" t="n">
        <v>46299.375</v>
      </c>
      <c r="E15" s="11" t="n">
        <v>46299.375</v>
      </c>
      <c r="F15" s="11" t="n">
        <v>46300.375</v>
      </c>
      <c r="G15" s="28">
        <f>(F15-E15)*24</f>
        <v/>
      </c>
      <c r="H15" s="23" t="inlineStr">
        <is>
          <t>–</t>
        </is>
      </c>
      <c r="I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1" t="n"/>
    </row>
    <row r="20" ht="42" customHeight="1">
      <c r="A20" s="16" t="inlineStr">
        <is>
          <t>20C</t>
        </is>
      </c>
      <c r="B20" s="16" t="inlineStr">
        <is>
          <t>Berth closed</t>
        </is>
      </c>
      <c r="C20" s="43" t="n"/>
      <c r="D20" s="17" t="inlineStr">
        <is>
          <t>–</t>
        </is>
      </c>
      <c r="E20" s="18" t="n">
        <v>46300</v>
      </c>
      <c r="F20" s="16" t="inlineStr">
        <is>
          <t>Wharf will be utilised on 5 Oct 2026  —  Slipped: reopening 3 Oct → 5 Oct</t>
        </is>
      </c>
      <c r="G20" s="43" t="n"/>
      <c r="H20" s="43" t="n"/>
      <c r="I20" s="43" t="n"/>
    </row>
    <row r="21" ht="42" customHeight="1">
      <c r="A21" s="16" t="inlineStr">
        <is>
          <t>20D</t>
        </is>
      </c>
      <c r="B21" s="16" t="inlineStr">
        <is>
          <t>Berth closed</t>
        </is>
      </c>
      <c r="C21" s="43" t="n"/>
      <c r="D21" s="18" t="n">
        <v>46299</v>
      </c>
      <c r="E21" s="18" t="n">
        <v>46319</v>
      </c>
      <c r="F21" s="16" t="inlineStr">
        <is>
          <t>Close on 4–24 Oct 2026 to renovate electric channel  —  Slipped: start 3 Oct → 4 Oct</t>
        </is>
      </c>
      <c r="G21" s="43" t="n"/>
      <c r="H21" s="43" t="n"/>
      <c r="I21" s="43" t="n"/>
    </row>
    <row r="22" ht="42" customHeight="1">
      <c r="A22" s="16" t="inlineStr">
        <is>
          <t>20E / G.25</t>
        </is>
      </c>
      <c r="B22" s="16" t="inlineStr">
        <is>
          <t>Gate stopped</t>
        </is>
      </c>
      <c r="C22" s="43" t="n"/>
      <c r="D22" s="18" t="n">
        <v>46300</v>
      </c>
      <c r="E22" s="18" t="n">
        <v>46313</v>
      </c>
      <c r="F22" s="16" t="inlineStr">
        <is>
          <t>G.25 stops working 5–18 Oct 2026 to change trolley rail  —  Slipped: start 3 Oct → 5 Oct</t>
        </is>
      </c>
      <c r="G22" s="43" t="n"/>
      <c r="H22" s="43" t="n"/>
      <c r="I22" s="43" t="n"/>
    </row>
  </sheetData>
  <mergeCells count="4">
    <mergeCell ref="F19:I19"/>
    <mergeCell ref="F20:I20"/>
    <mergeCell ref="F21:I21"/>
    <mergeCell ref="F22:I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6" t="inlineStr">
        <is>
          <t>20AB</t>
        </is>
      </c>
      <c r="B5" s="6" t="inlineStr">
        <is>
          <t>ZHONG GU BEI HAI</t>
        </is>
      </c>
      <c r="C5" s="17" t="n">
        <v>561</v>
      </c>
      <c r="D5" s="25" t="n">
        <v>46299.375</v>
      </c>
      <c r="E5" s="25" t="n">
        <v>46299.625</v>
      </c>
      <c r="F5" s="25" t="n">
        <v>46301.41666666666</v>
      </c>
      <c r="G5" s="34">
        <f>(F5-E5)*24</f>
        <v/>
      </c>
      <c r="H5" s="17" t="inlineStr">
        <is>
          <t>–</t>
        </is>
      </c>
      <c r="I5" s="17" t="inlineStr">
        <is>
          <t>Yes</t>
        </is>
      </c>
    </row>
    <row r="6">
      <c r="A6" s="5" t="inlineStr">
        <is>
          <t>20B</t>
        </is>
      </c>
      <c r="B6" s="5" t="inlineStr">
        <is>
          <t>YM IMPROVEMENT</t>
        </is>
      </c>
      <c r="C6" s="23" t="n">
        <v>564</v>
      </c>
      <c r="D6" s="11" t="n">
        <v>46298.95833333334</v>
      </c>
      <c r="E6" s="11" t="n">
        <v>46299.41666666666</v>
      </c>
      <c r="F6" s="11" t="n">
        <v>46300.5</v>
      </c>
      <c r="G6" s="28">
        <f>(F6-E6)*24</f>
        <v/>
      </c>
      <c r="H6" s="23" t="inlineStr">
        <is>
          <t>–</t>
        </is>
      </c>
      <c r="I6" s="23" t="inlineStr"/>
    </row>
    <row r="7">
      <c r="A7" s="5" t="inlineStr">
        <is>
          <t>20B</t>
        </is>
      </c>
      <c r="B7" s="5" t="inlineStr">
        <is>
          <t>JOSCO LUCKY</t>
        </is>
      </c>
      <c r="C7" s="23" t="n">
        <v>564</v>
      </c>
      <c r="D7" s="11" t="n">
        <v>46300.91666666666</v>
      </c>
      <c r="E7" s="11" t="n">
        <v>46301.5</v>
      </c>
      <c r="F7" s="11" t="n">
        <v>46302.54166666666</v>
      </c>
      <c r="G7" s="28">
        <f>(F7-E7)*24</f>
        <v/>
      </c>
      <c r="H7" s="23" t="inlineStr">
        <is>
          <t>–</t>
        </is>
      </c>
      <c r="I7" s="23" t="inlineStr"/>
    </row>
    <row r="8">
      <c r="A8" s="5" t="inlineStr">
        <is>
          <t>20C</t>
        </is>
      </c>
      <c r="B8" s="5" t="inlineStr">
        <is>
          <t>SAWASDEE DENEB</t>
        </is>
      </c>
      <c r="C8" s="23" t="n">
        <v>564</v>
      </c>
      <c r="D8" s="11" t="n">
        <v>46300</v>
      </c>
      <c r="E8" s="11" t="n">
        <v>46300.5</v>
      </c>
      <c r="F8" s="11" t="n">
        <v>46302.5</v>
      </c>
      <c r="G8" s="28">
        <f>(F8-E8)*24</f>
        <v/>
      </c>
      <c r="H8" s="23" t="inlineStr">
        <is>
          <t>–</t>
        </is>
      </c>
      <c r="I8" s="23" t="inlineStr"/>
    </row>
    <row r="9">
      <c r="A9" s="5" t="inlineStr">
        <is>
          <t>20D</t>
        </is>
      </c>
      <c r="B9" s="5" t="inlineStr">
        <is>
          <t>HARI BHUM (Barge)</t>
        </is>
      </c>
      <c r="C9" s="23" t="n">
        <v>259</v>
      </c>
      <c r="D9" s="11" t="n">
        <v>46298.20833333334</v>
      </c>
      <c r="E9" s="11" t="n">
        <v>46298.29166666666</v>
      </c>
      <c r="F9" s="11" t="n">
        <v>46298.66666666666</v>
      </c>
      <c r="G9" s="28">
        <f>(F9-E9)*24</f>
        <v/>
      </c>
      <c r="H9" s="23" t="inlineStr">
        <is>
          <t>–</t>
        </is>
      </c>
      <c r="I9" s="23" t="inlineStr"/>
    </row>
    <row r="10">
      <c r="A10" s="5" t="inlineStr">
        <is>
          <t>20E</t>
        </is>
      </c>
      <c r="B10" s="5" t="inlineStr">
        <is>
          <t>WAN HAI 278</t>
        </is>
      </c>
      <c r="C10" s="23" t="n">
        <v>564</v>
      </c>
      <c r="D10" s="11" t="n">
        <v>46297.91666666666</v>
      </c>
      <c r="E10" s="11" t="n">
        <v>46298.41666666666</v>
      </c>
      <c r="F10" s="11" t="n">
        <v>46300.45833333334</v>
      </c>
      <c r="G10" s="28">
        <f>(F10-E10)*24</f>
        <v/>
      </c>
      <c r="H10" s="23" t="inlineStr">
        <is>
          <t>–</t>
        </is>
      </c>
      <c r="I10" s="23" t="inlineStr"/>
    </row>
    <row r="11">
      <c r="A11" s="5" t="inlineStr">
        <is>
          <t>20F</t>
        </is>
      </c>
      <c r="B11" s="5" t="inlineStr">
        <is>
          <t>KMTC BANGKOK</t>
        </is>
      </c>
      <c r="C11" s="23" t="n">
        <v>564</v>
      </c>
      <c r="D11" s="11" t="n">
        <v>46297.29166666666</v>
      </c>
      <c r="E11" s="11" t="n">
        <v>46297.45833333334</v>
      </c>
      <c r="F11" s="11" t="n">
        <v>46298.70833333334</v>
      </c>
      <c r="G11" s="28">
        <f>(F11-E11)*24</f>
        <v/>
      </c>
      <c r="H11" s="23" t="inlineStr">
        <is>
          <t>–</t>
        </is>
      </c>
      <c r="I11" s="23" t="inlineStr"/>
    </row>
    <row r="12">
      <c r="A12" s="5" t="inlineStr">
        <is>
          <t>20F</t>
        </is>
      </c>
      <c r="B12" s="5" t="inlineStr">
        <is>
          <t>XIN MING ZHOU 98</t>
        </is>
      </c>
      <c r="C12" s="23" t="n">
        <v>564</v>
      </c>
      <c r="D12" s="11" t="n">
        <v>46299.375</v>
      </c>
      <c r="E12" s="11" t="n">
        <v>46299.375</v>
      </c>
      <c r="F12" s="11" t="n">
        <v>46300.375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2026  —  Unchanged</t>
        </is>
      </c>
      <c r="G17" s="42" t="n"/>
      <c r="H17" s="42" t="n"/>
      <c r="I17" s="42" t="n"/>
    </row>
    <row r="18" ht="42" customHeight="1">
      <c r="A18" s="16" t="inlineStr">
        <is>
          <t>20C</t>
        </is>
      </c>
      <c r="B18" s="16" t="inlineStr">
        <is>
          <t>Cable splicing</t>
        </is>
      </c>
      <c r="C18" s="43" t="n"/>
      <c r="D18" s="25" t="n">
        <v>46299.375</v>
      </c>
      <c r="E18" s="25" t="n">
        <v>46299.5</v>
      </c>
      <c r="F18" s="16" t="inlineStr">
        <is>
          <t>20C and 20D cable splicing on 4 Oct 2026, 09:00–12:00  —  New (berthing-section sheet)</t>
        </is>
      </c>
      <c r="G18" s="43" t="n"/>
      <c r="H18" s="43" t="n"/>
      <c r="I18" s="43" t="n"/>
    </row>
    <row r="19" ht="42" customHeight="1">
      <c r="A19" s="16" t="inlineStr">
        <is>
          <t>20D</t>
        </is>
      </c>
      <c r="B19" s="16" t="inlineStr">
        <is>
          <t>Cable splicing</t>
        </is>
      </c>
      <c r="C19" s="43" t="n"/>
      <c r="D19" s="25" t="n">
        <v>46299.375</v>
      </c>
      <c r="E19" s="25" t="n">
        <v>46299.5</v>
      </c>
      <c r="F19" s="16" t="inlineStr">
        <is>
          <t>20C and 20D cable splicing on 4 Oct 2026, 09:00–12:00  —  New (berthing-section sheet)</t>
        </is>
      </c>
      <c r="G19" s="43" t="n"/>
      <c r="H19" s="43" t="n"/>
      <c r="I19" s="43" t="n"/>
    </row>
    <row r="20" ht="42" customHeight="1">
      <c r="A20" s="16" t="inlineStr">
        <is>
          <t>20D</t>
        </is>
      </c>
      <c r="B20" s="16" t="inlineStr">
        <is>
          <t>Berth closed</t>
        </is>
      </c>
      <c r="C20" s="43" t="n"/>
      <c r="D20" s="18" t="n">
        <v>46299</v>
      </c>
      <c r="E20" s="18" t="n">
        <v>46320</v>
      </c>
      <c r="F20" s="16" t="inlineStr">
        <is>
          <t>20D closed 4–25 Oct 2026 to renovate electric channel (cable track bays 1700–1800)  —  End moved 24 → 25 Oct (the feeder sheet of the same day still says 24)</t>
        </is>
      </c>
      <c r="G20" s="43" t="n"/>
      <c r="H20" s="43" t="n"/>
      <c r="I20" s="43" t="n"/>
    </row>
    <row r="21" ht="42" customHeight="1">
      <c r="A21" s="16" t="inlineStr">
        <is>
          <t>20E / G.25</t>
        </is>
      </c>
      <c r="B21" s="16" t="inlineStr">
        <is>
          <t>Gate stopped</t>
        </is>
      </c>
      <c r="C21" s="43" t="n"/>
      <c r="D21" s="25" t="n">
        <v>46300.5</v>
      </c>
      <c r="E21" s="18" t="n">
        <v>46313</v>
      </c>
      <c r="F21" s="16" t="inlineStr">
        <is>
          <t>G.25 stops working from 5 Oct 12:00 to change trolley rail (bays 700–900); end date is cut off on this sheet, daily sheet says 18 Oct  —  Start time added (12:00); end date unclear</t>
        </is>
      </c>
      <c r="G21" s="43" t="n"/>
      <c r="H21" s="43" t="n"/>
      <c r="I21" s="43" t="n"/>
    </row>
  </sheetData>
  <mergeCells count="6">
    <mergeCell ref="F18:I18"/>
    <mergeCell ref="F17:I17"/>
    <mergeCell ref="F21:I21"/>
    <mergeCell ref="F16:I16"/>
    <mergeCell ref="F19:I19"/>
    <mergeCell ref="F20:I2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5" t="inlineStr">
        <is>
          <t>20AB</t>
        </is>
      </c>
      <c r="B5" s="5" t="inlineStr">
        <is>
          <t>ZHONG GU BEI HAI</t>
        </is>
      </c>
      <c r="C5" s="23" t="n">
        <v>561</v>
      </c>
      <c r="D5" s="11" t="n">
        <v>46299.375</v>
      </c>
      <c r="E5" s="11" t="n">
        <v>46299.625</v>
      </c>
      <c r="F5" s="11" t="n">
        <v>46301.41666666666</v>
      </c>
      <c r="G5" s="28">
        <f>(F5-E5)*24</f>
        <v/>
      </c>
      <c r="H5" s="23" t="inlineStr">
        <is>
          <t>–</t>
        </is>
      </c>
      <c r="I5" s="23" t="inlineStr"/>
    </row>
    <row r="6">
      <c r="A6" s="5" t="inlineStr">
        <is>
          <t>20AB</t>
        </is>
      </c>
      <c r="B6" s="5" t="inlineStr">
        <is>
          <t>JOSCO LUCKY</t>
        </is>
      </c>
      <c r="C6" s="23" t="n">
        <v>564</v>
      </c>
      <c r="D6" s="11" t="n">
        <v>46300.91666666666</v>
      </c>
      <c r="E6" s="11" t="n">
        <v>46301.5</v>
      </c>
      <c r="F6" s="11" t="n">
        <v>46302.54166666666</v>
      </c>
      <c r="G6" s="28">
        <f>(F6-E6)*24</f>
        <v/>
      </c>
      <c r="H6" s="23" t="inlineStr">
        <is>
          <t>–</t>
        </is>
      </c>
      <c r="I6" s="23" t="inlineStr"/>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20E</t>
        </is>
      </c>
      <c r="B10" s="5" t="inlineStr">
        <is>
          <t>WAN HAI 278</t>
        </is>
      </c>
      <c r="C10" s="23" t="n">
        <v>564</v>
      </c>
      <c r="D10" s="11" t="n">
        <v>46297.75</v>
      </c>
      <c r="E10" s="11" t="n">
        <v>46298.41666666666</v>
      </c>
      <c r="F10" s="11" t="n">
        <v>46300.45833333334</v>
      </c>
      <c r="G10" s="28">
        <f>(F10-E10)*24</f>
        <v/>
      </c>
      <c r="H10" s="23" t="inlineStr">
        <is>
          <t>–</t>
        </is>
      </c>
      <c r="I10" s="23" t="inlineStr"/>
    </row>
    <row r="11">
      <c r="A11" s="5" t="inlineStr">
        <is>
          <t>20F</t>
        </is>
      </c>
      <c r="B11" s="5" t="inlineStr">
        <is>
          <t>XIN MING ZHOU 98</t>
        </is>
      </c>
      <c r="C11" s="23" t="n">
        <v>564</v>
      </c>
      <c r="D11" s="11" t="n">
        <v>46299.375</v>
      </c>
      <c r="E11" s="11" t="n">
        <v>46299.375</v>
      </c>
      <c r="F11" s="11" t="n">
        <v>46300.375</v>
      </c>
      <c r="G11" s="28">
        <f>(F11-E11)*24</f>
        <v/>
      </c>
      <c r="H11" s="23" t="inlineStr">
        <is>
          <t>–</t>
        </is>
      </c>
      <c r="I11" s="23" t="inlineStr"/>
    </row>
    <row r="12">
      <c r="A12" s="5" t="inlineStr">
        <is>
          <t>20F</t>
        </is>
      </c>
      <c r="B12" s="5" t="inlineStr">
        <is>
          <t>KMTC TOKYO</t>
        </is>
      </c>
      <c r="C12" s="23" t="n">
        <v>565</v>
      </c>
      <c r="D12" s="11" t="n">
        <v>46301.58333333334</v>
      </c>
      <c r="E12" s="11" t="n">
        <v>46301.58333333334</v>
      </c>
      <c r="F12" s="11" t="n">
        <v>46303.5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(sheet prints 2027, treated as a typo)  —  Unchanged</t>
        </is>
      </c>
      <c r="G17" s="42" t="n"/>
      <c r="H17" s="42" t="n"/>
      <c r="I17" s="42" t="n"/>
    </row>
    <row r="18" ht="42" customHeight="1">
      <c r="A18" s="16" t="inlineStr">
        <is>
          <t>20D</t>
        </is>
      </c>
      <c r="B18" s="16" t="inlineStr">
        <is>
          <t>Berth closed</t>
        </is>
      </c>
      <c r="C18" s="43" t="n"/>
      <c r="D18" s="18" t="n">
        <v>46299</v>
      </c>
      <c r="E18" s="18" t="n">
        <v>46319</v>
      </c>
      <c r="F18" s="16" t="inlineStr">
        <is>
          <t>Close on 4–24 Oct 2026 to renovate electric channel  —  End back to 24 Oct</t>
        </is>
      </c>
      <c r="G18" s="43" t="n"/>
      <c r="H18" s="43" t="n"/>
      <c r="I18" s="43" t="n"/>
    </row>
    <row r="19" ht="42" customHeight="1">
      <c r="A19" s="9" t="inlineStr">
        <is>
          <t>20E / G.25</t>
        </is>
      </c>
      <c r="B19" s="9" t="inlineStr">
        <is>
          <t>Gate stopped</t>
        </is>
      </c>
      <c r="C19" s="42" t="n"/>
      <c r="D19" s="10" t="n">
        <v>46300</v>
      </c>
      <c r="E19" s="10" t="n">
        <v>46313</v>
      </c>
      <c r="F19" s="9" t="inlineStr">
        <is>
          <t>G.25 stops working 5–18 Oct 2026 to change trolley rail  —  End confirmed as 18 Oct</t>
        </is>
      </c>
      <c r="G19" s="42" t="n"/>
      <c r="H19" s="42" t="n"/>
      <c r="I19" s="42" t="n"/>
    </row>
  </sheetData>
  <mergeCells count="4">
    <mergeCell ref="F19:I19"/>
    <mergeCell ref="F18:I18"/>
    <mergeCell ref="F16:I16"/>
    <mergeCell ref="F17:I1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6" t="inlineStr">
        <is>
          <t>20AB</t>
        </is>
      </c>
      <c r="B6" s="6" t="inlineStr">
        <is>
          <t>GREEN PARK</t>
        </is>
      </c>
      <c r="C6" s="17" t="n">
        <v>482</v>
      </c>
      <c r="D6" s="25" t="n">
        <v>46302.45833333334</v>
      </c>
      <c r="E6" s="25" t="n">
        <v>46303.625</v>
      </c>
      <c r="F6" s="25" t="n">
        <v>46304.58333333334</v>
      </c>
      <c r="G6" s="34">
        <f>(F6-E6)*24</f>
        <v/>
      </c>
      <c r="H6" s="17" t="inlineStr">
        <is>
          <t>–</t>
        </is>
      </c>
      <c r="I6" s="17" t="inlineStr">
        <is>
          <t>Yes</t>
        </is>
      </c>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20C</t>
        </is>
      </c>
      <c r="B10" s="5" t="inlineStr">
        <is>
          <t>SAWASDEE ATLANTIC</t>
        </is>
      </c>
      <c r="C10" s="23" t="n">
        <v>564</v>
      </c>
      <c r="D10" s="11" t="n">
        <v>46302.91666666666</v>
      </c>
      <c r="E10" s="11" t="n">
        <v>46303.625</v>
      </c>
      <c r="F10" s="11" t="n">
        <v>46305.54166666666</v>
      </c>
      <c r="G10" s="28">
        <f>(F10-E10)*24</f>
        <v/>
      </c>
      <c r="H10" s="23" t="inlineStr">
        <is>
          <t>–</t>
        </is>
      </c>
      <c r="I10" s="23" t="inlineStr"/>
    </row>
    <row r="11">
      <c r="A11" s="5" t="inlineStr">
        <is>
          <t>20D</t>
        </is>
      </c>
      <c r="B11" s="5" t="inlineStr">
        <is>
          <t>JOSCO LUCKY</t>
        </is>
      </c>
      <c r="C11" s="23" t="n">
        <v>564</v>
      </c>
      <c r="D11" s="11" t="n">
        <v>46301.75</v>
      </c>
      <c r="E11" s="11" t="n">
        <v>46301.75</v>
      </c>
      <c r="F11" s="11" t="n">
        <v>46302.625</v>
      </c>
      <c r="G11" s="28">
        <f>(F11-E11)*24</f>
        <v/>
      </c>
      <c r="H11" s="23" t="inlineStr">
        <is>
          <t>–</t>
        </is>
      </c>
      <c r="I11" s="23" t="inlineStr"/>
    </row>
    <row r="12">
      <c r="A12" s="6" t="inlineStr">
        <is>
          <t>20D</t>
        </is>
      </c>
      <c r="B12" s="6" t="inlineStr">
        <is>
          <t>MTT BANGKOK</t>
        </is>
      </c>
      <c r="C12" s="17" t="n">
        <v>564</v>
      </c>
      <c r="D12" s="25" t="n">
        <v>46302.625</v>
      </c>
      <c r="E12" s="25" t="n">
        <v>46302.70833333334</v>
      </c>
      <c r="F12" s="25" t="n">
        <v>46304.54166666666</v>
      </c>
      <c r="G12" s="34">
        <f>(F12-E12)*24</f>
        <v/>
      </c>
      <c r="H12" s="17" t="inlineStr">
        <is>
          <t>–</t>
        </is>
      </c>
      <c r="I12" s="17" t="inlineStr">
        <is>
          <t>Yes</t>
        </is>
      </c>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6" t="inlineStr">
        <is>
          <t>20F</t>
        </is>
      </c>
      <c r="B14" s="6" t="inlineStr">
        <is>
          <t>XIN AN</t>
        </is>
      </c>
      <c r="C14" s="17" t="n">
        <v>564</v>
      </c>
      <c r="D14" s="25" t="n">
        <v>46302.58333333334</v>
      </c>
      <c r="E14" s="25" t="n">
        <v>46302.70833333334</v>
      </c>
      <c r="F14" s="25" t="n">
        <v>46304.54166666666</v>
      </c>
      <c r="G14" s="34">
        <f>(F14-E14)*24</f>
        <v/>
      </c>
      <c r="H14" s="17" t="inlineStr">
        <is>
          <t>–</t>
        </is>
      </c>
      <c r="I14" s="17" t="inlineStr">
        <is>
          <t>Yes</t>
        </is>
      </c>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16" t="inlineStr">
        <is>
          <t>20C</t>
        </is>
      </c>
      <c r="B19" s="16" t="inlineStr">
        <is>
          <t>Berth closed</t>
        </is>
      </c>
      <c r="C19" s="43" t="n"/>
      <c r="D19" s="17" t="inlineStr">
        <is>
          <t>–</t>
        </is>
      </c>
      <c r="E19" s="17" t="inlineStr">
        <is>
          <t>–</t>
        </is>
      </c>
      <c r="F19" s="16" t="inlineStr">
        <is>
          <t>(no notice – wharf open)  —  Notice removed: 20C reopened on 5 Oct</t>
        </is>
      </c>
      <c r="G19" s="43" t="n"/>
      <c r="H19" s="43" t="n"/>
      <c r="I19" s="43" t="n"/>
    </row>
    <row r="20" ht="42" customHeight="1">
      <c r="A20" s="16" t="inlineStr">
        <is>
          <t>20D</t>
        </is>
      </c>
      <c r="B20" s="16" t="inlineStr">
        <is>
          <t>Berth closed</t>
        </is>
      </c>
      <c r="C20" s="43" t="n"/>
      <c r="D20" s="18" t="n">
        <v>46299</v>
      </c>
      <c r="E20" s="18" t="n">
        <v>46319</v>
      </c>
      <c r="F20" s="16" t="inlineStr">
        <is>
          <t>Close on 4–24 Oct 2026 to renovate electric channel (but JOSCO LUCKY and MTT BANGKOK are booked at 20D from 06/18)  —  Unchanged – conflicts with vessel bookings, please confirm</t>
        </is>
      </c>
      <c r="G20" s="43" t="n"/>
      <c r="H20" s="43" t="n"/>
      <c r="I20" s="43" t="n"/>
    </row>
    <row r="21" ht="42" customHeight="1">
      <c r="A21" s="9" t="inlineStr">
        <is>
          <t>20E / G.25</t>
        </is>
      </c>
      <c r="B21" s="9" t="inlineStr">
        <is>
          <t>Gate stopped</t>
        </is>
      </c>
      <c r="C21" s="42" t="n"/>
      <c r="D21" s="10" t="n">
        <v>46300</v>
      </c>
      <c r="E21" s="10" t="n">
        <v>46313</v>
      </c>
      <c r="F21" s="9" t="inlineStr">
        <is>
          <t>G.25 stops working 5–18 Oct 2026 to change trolley rail  —  Unchanged</t>
        </is>
      </c>
      <c r="G21" s="42" t="n"/>
      <c r="H21" s="42" t="n"/>
      <c r="I21" s="42" t="n"/>
    </row>
  </sheetData>
  <mergeCells count="4">
    <mergeCell ref="F19:I19"/>
    <mergeCell ref="F18:I18"/>
    <mergeCell ref="F21:I21"/>
    <mergeCell ref="F20:I2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5" t="inlineStr">
        <is>
          <t>20AB</t>
        </is>
      </c>
      <c r="B6" s="5" t="inlineStr">
        <is>
          <t>SITC HOCHIMINH</t>
        </is>
      </c>
      <c r="C6" s="23" t="n">
        <v>470</v>
      </c>
      <c r="D6" s="11" t="n">
        <v>46302.79166666666</v>
      </c>
      <c r="E6" s="11" t="n">
        <v>46303.58333333334</v>
      </c>
      <c r="F6" s="11" t="n">
        <v>46304.70833333334</v>
      </c>
      <c r="G6" s="28">
        <f>(F6-E6)*24</f>
        <v/>
      </c>
      <c r="H6" s="23" t="inlineStr">
        <is>
          <t>–</t>
        </is>
      </c>
      <c r="I6" s="23" t="inlineStr"/>
    </row>
    <row r="7">
      <c r="A7" s="5" t="inlineStr">
        <is>
          <t>20AB</t>
        </is>
      </c>
      <c r="B7" s="5" t="inlineStr">
        <is>
          <t>YM INCEPTION</t>
        </is>
      </c>
      <c r="C7" s="23" t="n">
        <v>564</v>
      </c>
      <c r="D7" s="11" t="n">
        <v>46303.54166666666</v>
      </c>
      <c r="E7" s="11" t="n">
        <v>46304.625</v>
      </c>
      <c r="F7" s="11" t="n">
        <v>46305.66666666666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GREEN PARK</t>
        </is>
      </c>
      <c r="C9" s="23" t="n">
        <v>482</v>
      </c>
      <c r="D9" s="11" t="n">
        <v>46302.45833333334</v>
      </c>
      <c r="E9" s="11" t="n">
        <v>46303.625</v>
      </c>
      <c r="F9" s="11" t="n">
        <v>46304.58333333334</v>
      </c>
      <c r="G9" s="28">
        <f>(F9-E9)*24</f>
        <v/>
      </c>
      <c r="H9" s="23" t="inlineStr">
        <is>
          <t>–</t>
        </is>
      </c>
      <c r="I9" s="23" t="inlineStr"/>
    </row>
    <row r="10">
      <c r="A10" s="5" t="inlineStr">
        <is>
          <t>20B</t>
        </is>
      </c>
      <c r="B10" s="5" t="inlineStr">
        <is>
          <t>HE JIN</t>
        </is>
      </c>
      <c r="C10" s="23" t="n">
        <v>552</v>
      </c>
      <c r="D10" s="11" t="n">
        <v>46302.875</v>
      </c>
      <c r="E10" s="11" t="n">
        <v>46304.625</v>
      </c>
      <c r="F10" s="11" t="n">
        <v>46305.625</v>
      </c>
      <c r="G10" s="28">
        <f>(F10-E10)*24</f>
        <v/>
      </c>
      <c r="H10" s="23" t="inlineStr">
        <is>
          <t>–</t>
        </is>
      </c>
      <c r="I10" s="23" t="inlineStr"/>
    </row>
    <row r="11">
      <c r="A11" s="5" t="inlineStr">
        <is>
          <t>20C</t>
        </is>
      </c>
      <c r="B11" s="5" t="inlineStr">
        <is>
          <t>SAWASDEE DENEB</t>
        </is>
      </c>
      <c r="C11" s="23" t="n">
        <v>564</v>
      </c>
      <c r="D11" s="11" t="n">
        <v>46300</v>
      </c>
      <c r="E11" s="11" t="n">
        <v>46300.5</v>
      </c>
      <c r="F11" s="11" t="n">
        <v>46302.45833333334</v>
      </c>
      <c r="G11" s="28">
        <f>(F11-E11)*24</f>
        <v/>
      </c>
      <c r="H11" s="23" t="inlineStr">
        <is>
          <t>–</t>
        </is>
      </c>
      <c r="I11" s="23" t="inlineStr"/>
    </row>
    <row r="12">
      <c r="A12" s="5" t="inlineStr">
        <is>
          <t>20C</t>
        </is>
      </c>
      <c r="B12" s="5" t="inlineStr">
        <is>
          <t>JOSCO LUCKY</t>
        </is>
      </c>
      <c r="C12" s="23" t="n">
        <v>564</v>
      </c>
      <c r="D12" s="11" t="n">
        <v>46301.875</v>
      </c>
      <c r="E12" s="11" t="n">
        <v>46302.54166666666</v>
      </c>
      <c r="F12" s="11" t="n">
        <v>46303.5</v>
      </c>
      <c r="G12" s="28">
        <f>(F12-E12)*24</f>
        <v/>
      </c>
      <c r="H12" s="23" t="inlineStr">
        <is>
          <t>–</t>
        </is>
      </c>
      <c r="I12" s="23" t="inlineStr"/>
    </row>
    <row r="13">
      <c r="A13" s="5" t="inlineStr">
        <is>
          <t>20C</t>
        </is>
      </c>
      <c r="B13" s="5" t="inlineStr">
        <is>
          <t>ZHONG GU DONG HAI</t>
        </is>
      </c>
      <c r="C13" s="23" t="n">
        <v>564</v>
      </c>
      <c r="D13" s="11" t="n">
        <v>46302.66666666666</v>
      </c>
      <c r="E13" s="11" t="n">
        <v>46303.58333333334</v>
      </c>
      <c r="F13" s="11" t="n">
        <v>46304.58333333334</v>
      </c>
      <c r="G13" s="28">
        <f>(F13-E13)*24</f>
        <v/>
      </c>
      <c r="H13" s="23" t="inlineStr">
        <is>
          <t>–</t>
        </is>
      </c>
      <c r="I13" s="23" t="inlineStr"/>
    </row>
    <row r="14">
      <c r="A14" s="5" t="inlineStr">
        <is>
          <t>20C</t>
        </is>
      </c>
      <c r="B14" s="5" t="inlineStr">
        <is>
          <t>SAWASDEE ATLANTIC</t>
        </is>
      </c>
      <c r="C14" s="23" t="n">
        <v>564</v>
      </c>
      <c r="D14" s="11" t="n">
        <v>46302.91666666666</v>
      </c>
      <c r="E14" s="11" t="n">
        <v>46304.625</v>
      </c>
      <c r="F14" s="11" t="n">
        <v>46306.125</v>
      </c>
      <c r="G14" s="28">
        <f>(F14-E14)*24</f>
        <v/>
      </c>
      <c r="H14" s="23" t="inlineStr">
        <is>
          <t>–</t>
        </is>
      </c>
      <c r="I14" s="23" t="inlineStr"/>
    </row>
    <row r="15">
      <c r="A15" s="5" t="inlineStr">
        <is>
          <t>20D</t>
        </is>
      </c>
      <c r="B15" s="5" t="inlineStr">
        <is>
          <t>MTT BANGKOK</t>
        </is>
      </c>
      <c r="C15" s="23" t="n">
        <v>564</v>
      </c>
      <c r="D15" s="11" t="n">
        <v>46302.5</v>
      </c>
      <c r="E15" s="11" t="n">
        <v>46302.58333333334</v>
      </c>
      <c r="F15" s="11" t="n">
        <v>46304.54166666666</v>
      </c>
      <c r="G15" s="28">
        <f>(F15-E15)*24</f>
        <v/>
      </c>
      <c r="H15" s="23" t="inlineStr">
        <is>
          <t>–</t>
        </is>
      </c>
      <c r="I15" s="23" t="inlineStr"/>
    </row>
    <row r="16">
      <c r="A16" s="5" t="inlineStr">
        <is>
          <t>20D</t>
        </is>
      </c>
      <c r="B16" s="5" t="inlineStr">
        <is>
          <t>KANWAY FORTUNE</t>
        </is>
      </c>
      <c r="C16" s="23" t="n">
        <v>564</v>
      </c>
      <c r="D16" s="11" t="n">
        <v>46303.75</v>
      </c>
      <c r="E16" s="11" t="n">
        <v>46304.625</v>
      </c>
      <c r="F16" s="11" t="n">
        <v>46306.125</v>
      </c>
      <c r="G16" s="28">
        <f>(F16-E16)*24</f>
        <v/>
      </c>
      <c r="H16" s="23" t="inlineStr">
        <is>
          <t>–</t>
        </is>
      </c>
      <c r="I16" s="23" t="inlineStr"/>
    </row>
    <row r="17">
      <c r="A17" s="5" t="inlineStr">
        <is>
          <t>20F</t>
        </is>
      </c>
      <c r="B17" s="5" t="inlineStr">
        <is>
          <t>XIN AN</t>
        </is>
      </c>
      <c r="C17" s="23" t="n">
        <v>564</v>
      </c>
      <c r="D17" s="11" t="n">
        <v>46302.54166666666</v>
      </c>
      <c r="E17" s="11" t="n">
        <v>46302.58333333334</v>
      </c>
      <c r="F17" s="11" t="n">
        <v>46304.54166666666</v>
      </c>
      <c r="G17" s="28">
        <f>(F17-E17)*24</f>
        <v/>
      </c>
      <c r="H17" s="23" t="inlineStr">
        <is>
          <t>–</t>
        </is>
      </c>
      <c r="I17" s="23" t="inlineStr"/>
    </row>
    <row r="20">
      <c r="A20" s="39"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40" t="n"/>
      <c r="H21" s="40" t="n"/>
      <c r="I21" s="41" t="n"/>
    </row>
    <row r="22" ht="42" customHeight="1">
      <c r="A22" s="16" t="inlineStr">
        <is>
          <t>20D</t>
        </is>
      </c>
      <c r="B22" s="16" t="inlineStr">
        <is>
          <t>Berth closed</t>
        </is>
      </c>
      <c r="C22" s="43" t="n"/>
      <c r="D22" s="18" t="n">
        <v>46299</v>
      </c>
      <c r="E22" s="18" t="n">
        <v>46319</v>
      </c>
      <c r="F22" s="16" t="inlineStr">
        <is>
          <t>Close on 4–24 Oct 2026 to renovate electric channel (MTT BANGKOK and KANWAY FORTUNE are still booked at 20D from 07/12)  —  Unchanged – conflicts with vessel bookings, please confirm</t>
        </is>
      </c>
      <c r="G22" s="43" t="n"/>
      <c r="H22" s="43" t="n"/>
      <c r="I22" s="43" t="n"/>
    </row>
    <row r="23" ht="42" customHeight="1">
      <c r="A23" s="9" t="inlineStr">
        <is>
          <t>20E / G.25</t>
        </is>
      </c>
      <c r="B23" s="9" t="inlineStr">
        <is>
          <t>Gate stopped</t>
        </is>
      </c>
      <c r="C23" s="42" t="n"/>
      <c r="D23" s="10" t="n">
        <v>46300</v>
      </c>
      <c r="E23" s="10" t="n">
        <v>46313</v>
      </c>
      <c r="F23" s="9" t="inlineStr">
        <is>
          <t>G.25 stops working 5–18 Oct 2026 to change trolley rail (in progress)  —  Unchanged</t>
        </is>
      </c>
      <c r="G23" s="42" t="n"/>
      <c r="H23" s="42" t="n"/>
      <c r="I23" s="42" t="n"/>
    </row>
  </sheetData>
  <mergeCells count="3">
    <mergeCell ref="F23:I23"/>
    <mergeCell ref="F21:I21"/>
    <mergeCell ref="F22:I2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46302.45833333334</v>
      </c>
      <c r="E5" s="11" t="n">
        <v>46303.54166666666</v>
      </c>
      <c r="F5" s="11" t="n">
        <v>46304.58333333334</v>
      </c>
      <c r="G5" s="28">
        <f>(F5-E5)*24</f>
        <v/>
      </c>
      <c r="H5" s="23" t="inlineStr">
        <is>
          <t>–</t>
        </is>
      </c>
      <c r="I5" s="23" t="inlineStr"/>
    </row>
    <row r="6">
      <c r="A6" s="5" t="inlineStr">
        <is>
          <t>20AB</t>
        </is>
      </c>
      <c r="B6" s="5" t="inlineStr">
        <is>
          <t>HE JIN</t>
        </is>
      </c>
      <c r="C6" s="23" t="n">
        <v>552</v>
      </c>
      <c r="D6" s="11" t="n">
        <v>46302.83333333334</v>
      </c>
      <c r="E6" s="11" t="n">
        <v>46304.625</v>
      </c>
      <c r="F6" s="11" t="n">
        <v>46305.625</v>
      </c>
      <c r="G6" s="28">
        <f>(F6-E6)*24</f>
        <v/>
      </c>
      <c r="H6" s="23" t="inlineStr">
        <is>
          <t>–</t>
        </is>
      </c>
      <c r="I6" s="23" t="inlineStr"/>
    </row>
    <row r="7">
      <c r="A7" s="5" t="inlineStr">
        <is>
          <t>20AB</t>
        </is>
      </c>
      <c r="B7" s="5" t="inlineStr">
        <is>
          <t>CNC MARS</t>
        </is>
      </c>
      <c r="C7" s="23" t="n">
        <v>564</v>
      </c>
      <c r="D7" s="11" t="n">
        <v>46304.41666666666</v>
      </c>
      <c r="E7" s="11" t="n">
        <v>46305.58333333334</v>
      </c>
      <c r="F7" s="11" t="n">
        <v>46307.16666666666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46302.75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46304.625</v>
      </c>
      <c r="F10" s="11" t="n">
        <v>46306.125</v>
      </c>
      <c r="G10" s="28">
        <f>(F10-E10)*24</f>
        <v/>
      </c>
      <c r="H10" s="23" t="inlineStr">
        <is>
          <t>–</t>
        </is>
      </c>
      <c r="I10" s="23" t="inlineStr"/>
    </row>
    <row r="11">
      <c r="A11" s="5" t="inlineStr">
        <is>
          <t>20B</t>
        </is>
      </c>
      <c r="B11" s="5" t="inlineStr">
        <is>
          <t>CUL HAIPHONG</t>
        </is>
      </c>
      <c r="C11" s="23" t="n">
        <v>458</v>
      </c>
      <c r="D11" s="11" t="n">
        <v>46304.75</v>
      </c>
      <c r="E11" s="11" t="n">
        <v>46306.20833333334</v>
      </c>
      <c r="F11" s="11" t="n">
        <v>46307.20833333334</v>
      </c>
      <c r="G11" s="28">
        <f>(F11-E11)*24</f>
        <v/>
      </c>
      <c r="H11" s="23" t="inlineStr">
        <is>
          <t>4A</t>
        </is>
      </c>
      <c r="I11" s="23" t="inlineStr"/>
    </row>
    <row r="12">
      <c r="A12" s="5" t="inlineStr">
        <is>
          <t>20C</t>
        </is>
      </c>
      <c r="B12" s="5" t="inlineStr">
        <is>
          <t>SAWASDEE DENEB</t>
        </is>
      </c>
      <c r="C12" s="23" t="n">
        <v>564</v>
      </c>
      <c r="D12" s="11" t="n">
        <v>46300</v>
      </c>
      <c r="E12" s="11" t="n">
        <v>46300.5</v>
      </c>
      <c r="F12" s="11" t="n">
        <v>46302.45833333334</v>
      </c>
      <c r="G12" s="28">
        <f>(F12-E12)*24</f>
        <v/>
      </c>
      <c r="H12" s="23" t="inlineStr">
        <is>
          <t>–</t>
        </is>
      </c>
      <c r="I12" s="23" t="inlineStr"/>
    </row>
    <row r="13">
      <c r="A13" s="5" t="inlineStr">
        <is>
          <t>20C</t>
        </is>
      </c>
      <c r="B13" s="5" t="inlineStr">
        <is>
          <t>JOSCO LUCKY</t>
        </is>
      </c>
      <c r="C13" s="23" t="n">
        <v>564</v>
      </c>
      <c r="D13" s="11" t="n">
        <v>46301.875</v>
      </c>
      <c r="E13" s="11" t="n">
        <v>46302.54166666666</v>
      </c>
      <c r="F13" s="11" t="n">
        <v>46303.54166666666</v>
      </c>
      <c r="G13" s="28">
        <f>(F13-E13)*24</f>
        <v/>
      </c>
      <c r="H13" s="23" t="inlineStr">
        <is>
          <t>–</t>
        </is>
      </c>
      <c r="I13" s="23" t="inlineStr"/>
    </row>
    <row r="14">
      <c r="A14" s="5" t="inlineStr">
        <is>
          <t>20C</t>
        </is>
      </c>
      <c r="B14" s="5" t="inlineStr">
        <is>
          <t>ZHONG GU DONG HAI</t>
        </is>
      </c>
      <c r="C14" s="23" t="n">
        <v>564</v>
      </c>
      <c r="D14" s="11" t="n">
        <v>46302.54166666666</v>
      </c>
      <c r="E14" s="11" t="n">
        <v>46303.58333333334</v>
      </c>
      <c r="F14" s="11" t="n">
        <v>46304.58333333334</v>
      </c>
      <c r="G14" s="28">
        <f>(F14-E14)*24</f>
        <v/>
      </c>
      <c r="H14" s="23" t="inlineStr">
        <is>
          <t>–</t>
        </is>
      </c>
      <c r="I14" s="23" t="inlineStr"/>
    </row>
    <row r="15">
      <c r="A15" s="5" t="inlineStr">
        <is>
          <t>20C</t>
        </is>
      </c>
      <c r="B15" s="5" t="inlineStr">
        <is>
          <t>YM INCEPTION</t>
        </is>
      </c>
      <c r="C15" s="23" t="n">
        <v>564</v>
      </c>
      <c r="D15" s="11" t="n">
        <v>46303.54166666666</v>
      </c>
      <c r="E15" s="11" t="n">
        <v>46304.54166666666</v>
      </c>
      <c r="F15" s="11" t="n">
        <v>46306.04166666666</v>
      </c>
      <c r="G15" s="28">
        <f>(F15-E15)*24</f>
        <v/>
      </c>
      <c r="H15" s="23" t="inlineStr">
        <is>
          <t>–</t>
        </is>
      </c>
      <c r="I15" s="23" t="inlineStr"/>
    </row>
    <row r="16">
      <c r="A16" s="5" t="inlineStr">
        <is>
          <t>20D</t>
        </is>
      </c>
      <c r="B16" s="5" t="inlineStr">
        <is>
          <t>MTT BANGKOK</t>
        </is>
      </c>
      <c r="C16" s="23" t="n">
        <v>564</v>
      </c>
      <c r="D16" s="11" t="n">
        <v>46302.5</v>
      </c>
      <c r="E16" s="11" t="n">
        <v>46302.58333333334</v>
      </c>
      <c r="F16" s="11" t="n">
        <v>46304.54166666666</v>
      </c>
      <c r="G16" s="28">
        <f>(F16-E16)*24</f>
        <v/>
      </c>
      <c r="H16" s="23" t="inlineStr">
        <is>
          <t>–</t>
        </is>
      </c>
      <c r="I16" s="23" t="inlineStr"/>
    </row>
    <row r="17">
      <c r="A17" s="5" t="inlineStr">
        <is>
          <t>20D</t>
        </is>
      </c>
      <c r="B17" s="5" t="inlineStr">
        <is>
          <t>SAWASDEE ATLANTIC</t>
        </is>
      </c>
      <c r="C17" s="23" t="n">
        <v>564</v>
      </c>
      <c r="D17" s="11" t="n">
        <v>46302.91666666666</v>
      </c>
      <c r="E17" s="11" t="n">
        <v>46304.625</v>
      </c>
      <c r="F17" s="11" t="n">
        <v>46306.125</v>
      </c>
      <c r="G17" s="28">
        <f>(F17-E17)*24</f>
        <v/>
      </c>
      <c r="H17" s="23" t="inlineStr">
        <is>
          <t>–</t>
        </is>
      </c>
      <c r="I17" s="23" t="inlineStr"/>
    </row>
    <row r="18">
      <c r="A18" s="5" t="inlineStr">
        <is>
          <t>20F</t>
        </is>
      </c>
      <c r="B18" s="5" t="inlineStr">
        <is>
          <t>XIN AN</t>
        </is>
      </c>
      <c r="C18" s="23" t="n">
        <v>564</v>
      </c>
      <c r="D18" s="11" t="n">
        <v>46302.54166666666</v>
      </c>
      <c r="E18" s="11" t="n">
        <v>46302.58333333334</v>
      </c>
      <c r="F18" s="11" t="n">
        <v>46304.54166666666</v>
      </c>
      <c r="G18" s="28">
        <f>(F18-E18)*24</f>
        <v/>
      </c>
      <c r="H18" s="23" t="inlineStr">
        <is>
          <t>–</t>
        </is>
      </c>
      <c r="I18" s="23" t="inlineStr"/>
    </row>
    <row r="19">
      <c r="A19" s="5" t="inlineStr">
        <is>
          <t>20F</t>
        </is>
      </c>
      <c r="B19" s="5" t="inlineStr">
        <is>
          <t>KANWAY FORTUNE</t>
        </is>
      </c>
      <c r="C19" s="23" t="n">
        <v>564</v>
      </c>
      <c r="D19" s="11" t="n">
        <v>46303.75</v>
      </c>
      <c r="E19" s="11" t="n">
        <v>46304.58333333334</v>
      </c>
      <c r="F19" s="11" t="n">
        <v>46305.625</v>
      </c>
      <c r="G19" s="28">
        <f>(F19-E19)*24</f>
        <v/>
      </c>
      <c r="H19" s="23" t="inlineStr">
        <is>
          <t>–</t>
        </is>
      </c>
      <c r="I19" s="23" t="inlineStr"/>
    </row>
    <row r="20">
      <c r="A20" s="5" t="inlineStr">
        <is>
          <t>20F</t>
        </is>
      </c>
      <c r="B20" s="5" t="inlineStr">
        <is>
          <t>XIN MING ZHOU 102</t>
        </is>
      </c>
      <c r="C20" s="23" t="n">
        <v>564</v>
      </c>
      <c r="D20" s="11" t="n">
        <v>46304.54166666666</v>
      </c>
      <c r="E20" s="11" t="n">
        <v>46305.58333333334</v>
      </c>
      <c r="F20" s="11" t="n">
        <v>46306.125</v>
      </c>
      <c r="G20" s="28">
        <f>(F20-E20)*24</f>
        <v/>
      </c>
      <c r="H20" s="23" t="inlineStr">
        <is>
          <t>–</t>
        </is>
      </c>
      <c r="I20" s="23" t="inlineStr"/>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1" t="n"/>
    </row>
    <row r="25" ht="42" customHeight="1">
      <c r="A25" s="16" t="inlineStr">
        <is>
          <t>20D</t>
        </is>
      </c>
      <c r="B25" s="16" t="inlineStr">
        <is>
          <t>Berth closed</t>
        </is>
      </c>
      <c r="C25" s="43" t="n"/>
      <c r="D25" s="18" t="n">
        <v>46299</v>
      </c>
      <c r="E25" s="18" t="n">
        <v>46319</v>
      </c>
      <c r="F25" s="16" t="inlineStr">
        <is>
          <t>Close on 4–24 Oct 2026 to renovate electric channel (MTT BANGKOK and SAWASDEE ATLANTIC are still booked at 20D)  —  Unchanged – conflicts with vessel bookings, please confirm</t>
        </is>
      </c>
      <c r="G25" s="43" t="n"/>
      <c r="H25" s="43" t="n"/>
      <c r="I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row>
  </sheetData>
  <mergeCells count="3">
    <mergeCell ref="F24:I24"/>
    <mergeCell ref="F25:I25"/>
    <mergeCell ref="F26:I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46302.41666666666</v>
      </c>
      <c r="E5" s="11" t="n">
        <v>46303.54166666666</v>
      </c>
      <c r="F5" s="11" t="n">
        <v>46304.58333333334</v>
      </c>
      <c r="G5" s="28">
        <f>(F5-E5)*24</f>
        <v/>
      </c>
      <c r="H5" s="23" t="inlineStr">
        <is>
          <t>–</t>
        </is>
      </c>
      <c r="I5" s="23" t="inlineStr"/>
    </row>
    <row r="6">
      <c r="A6" s="5" t="inlineStr">
        <is>
          <t>20AB</t>
        </is>
      </c>
      <c r="B6" s="5" t="inlineStr">
        <is>
          <t>KANWAY FORTUNE</t>
        </is>
      </c>
      <c r="C6" s="23" t="n">
        <v>564</v>
      </c>
      <c r="D6" s="11" t="n">
        <v>46303.75</v>
      </c>
      <c r="E6" s="11" t="n">
        <v>46304.58333333334</v>
      </c>
      <c r="F6" s="11" t="n">
        <v>46305.625</v>
      </c>
      <c r="G6" s="28">
        <f>(F6-E6)*24</f>
        <v/>
      </c>
      <c r="H6" s="23" t="inlineStr">
        <is>
          <t>–</t>
        </is>
      </c>
      <c r="I6" s="23" t="inlineStr"/>
    </row>
    <row r="7">
      <c r="A7" s="5" t="inlineStr">
        <is>
          <t>20AB</t>
        </is>
      </c>
      <c r="B7" s="5" t="inlineStr">
        <is>
          <t>CNC MARS</t>
        </is>
      </c>
      <c r="C7" s="23" t="n">
        <v>564</v>
      </c>
      <c r="D7" s="11" t="n">
        <v>46304.91666666666</v>
      </c>
      <c r="E7" s="11" t="n">
        <v>46305.625</v>
      </c>
      <c r="F7" s="11" t="n">
        <v>46306.625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46302.625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46304.66666666666</v>
      </c>
      <c r="F10" s="11" t="n">
        <v>46306.58333333334</v>
      </c>
      <c r="G10" s="28">
        <f>(F10-E10)*24</f>
        <v/>
      </c>
      <c r="H10" s="23" t="inlineStr">
        <is>
          <t>–</t>
        </is>
      </c>
      <c r="I10" s="23" t="inlineStr"/>
    </row>
    <row r="11">
      <c r="A11" s="5" t="inlineStr">
        <is>
          <t>20C</t>
        </is>
      </c>
      <c r="B11" s="5" t="inlineStr">
        <is>
          <t>JOSCO LUCKY</t>
        </is>
      </c>
      <c r="C11" s="23" t="n">
        <v>564</v>
      </c>
      <c r="D11" s="11" t="n">
        <v>46301.875</v>
      </c>
      <c r="E11" s="11" t="n">
        <v>46302.54166666666</v>
      </c>
      <c r="F11" s="11" t="n">
        <v>46303.54166666666</v>
      </c>
      <c r="G11" s="28">
        <f>(F11-E11)*24</f>
        <v/>
      </c>
      <c r="H11" s="23" t="inlineStr">
        <is>
          <t>–</t>
        </is>
      </c>
      <c r="I11" s="23" t="inlineStr"/>
    </row>
    <row r="12">
      <c r="A12" s="5" t="inlineStr">
        <is>
          <t>20C</t>
        </is>
      </c>
      <c r="B12" s="5" t="inlineStr">
        <is>
          <t>ZHONG GU DONG HAI</t>
        </is>
      </c>
      <c r="C12" s="23" t="n">
        <v>564</v>
      </c>
      <c r="D12" s="11" t="n">
        <v>46302.58333333334</v>
      </c>
      <c r="E12" s="11" t="n">
        <v>46303.58333333334</v>
      </c>
      <c r="F12" s="11" t="n">
        <v>46304.58333333334</v>
      </c>
      <c r="G12" s="28">
        <f>(F12-E12)*24</f>
        <v/>
      </c>
      <c r="H12" s="23" t="inlineStr">
        <is>
          <t>–</t>
        </is>
      </c>
      <c r="I12" s="23" t="inlineStr"/>
    </row>
    <row r="13">
      <c r="A13" s="5" t="inlineStr">
        <is>
          <t>20C</t>
        </is>
      </c>
      <c r="B13" s="5" t="inlineStr">
        <is>
          <t>YM INCEPTION</t>
        </is>
      </c>
      <c r="C13" s="23" t="n">
        <v>564</v>
      </c>
      <c r="D13" s="11" t="n">
        <v>46303.54166666666</v>
      </c>
      <c r="E13" s="11" t="n">
        <v>46304.54166666666</v>
      </c>
      <c r="F13" s="11" t="n">
        <v>46306.04166666666</v>
      </c>
      <c r="G13" s="28">
        <f>(F13-E13)*24</f>
        <v/>
      </c>
      <c r="H13" s="23" t="inlineStr">
        <is>
          <t>–</t>
        </is>
      </c>
      <c r="I13" s="23" t="inlineStr"/>
    </row>
    <row r="14">
      <c r="A14" s="5" t="inlineStr">
        <is>
          <t>20C</t>
        </is>
      </c>
      <c r="B14" s="5" t="inlineStr">
        <is>
          <t>STARSHIP AQUILA</t>
        </is>
      </c>
      <c r="C14" s="23" t="n">
        <v>565</v>
      </c>
      <c r="D14" s="11" t="n">
        <v>46304.91666666666</v>
      </c>
      <c r="E14" s="11" t="n">
        <v>46306.16666666666</v>
      </c>
      <c r="F14" s="11" t="n">
        <v>46307.54166666666</v>
      </c>
      <c r="G14" s="28">
        <f>(F14-E14)*24</f>
        <v/>
      </c>
      <c r="H14" s="23" t="inlineStr">
        <is>
          <t>–</t>
        </is>
      </c>
      <c r="I14" s="23" t="inlineStr"/>
    </row>
    <row r="15">
      <c r="A15" s="5" t="inlineStr">
        <is>
          <t>20D</t>
        </is>
      </c>
      <c r="B15" s="5" t="inlineStr">
        <is>
          <t>MTT BANGKOK</t>
        </is>
      </c>
      <c r="C15" s="23" t="n">
        <v>564</v>
      </c>
      <c r="D15" s="11" t="n">
        <v>46302.54166666666</v>
      </c>
      <c r="E15" s="11" t="n">
        <v>46302.58333333334</v>
      </c>
      <c r="F15" s="11" t="n">
        <v>46304.08333333334</v>
      </c>
      <c r="G15" s="28">
        <f>(F15-E15)*24</f>
        <v/>
      </c>
      <c r="H15" s="23" t="inlineStr">
        <is>
          <t>–</t>
        </is>
      </c>
      <c r="I15" s="23" t="inlineStr"/>
    </row>
    <row r="16">
      <c r="A16" s="5" t="inlineStr">
        <is>
          <t>20D</t>
        </is>
      </c>
      <c r="B16" s="5" t="inlineStr">
        <is>
          <t>HE JIN</t>
        </is>
      </c>
      <c r="C16" s="23" t="n">
        <v>552</v>
      </c>
      <c r="D16" s="11" t="n">
        <v>46304.08333333334</v>
      </c>
      <c r="E16" s="11" t="n">
        <v>46304.08333333334</v>
      </c>
      <c r="F16" s="11" t="n">
        <v>46305.54166666666</v>
      </c>
      <c r="G16" s="28">
        <f>(F16-E16)*24</f>
        <v/>
      </c>
      <c r="H16" s="23" t="inlineStr">
        <is>
          <t>–</t>
        </is>
      </c>
      <c r="I16" s="23" t="inlineStr"/>
    </row>
    <row r="17">
      <c r="A17" s="5" t="inlineStr">
        <is>
          <t>20D</t>
        </is>
      </c>
      <c r="B17" s="5" t="inlineStr">
        <is>
          <t>CUL HAIPHONG</t>
        </is>
      </c>
      <c r="C17" s="23" t="n">
        <v>458</v>
      </c>
      <c r="D17" s="11" t="n">
        <v>46304.83333333334</v>
      </c>
      <c r="E17" s="11" t="n">
        <v>46305.66666666666</v>
      </c>
      <c r="F17" s="11" t="n">
        <v>46306.25</v>
      </c>
      <c r="G17" s="28">
        <f>(F17-E17)*24</f>
        <v/>
      </c>
      <c r="H17" s="23" t="inlineStr">
        <is>
          <t>4A</t>
        </is>
      </c>
      <c r="I17" s="23" t="inlineStr"/>
    </row>
    <row r="18">
      <c r="A18" s="5" t="inlineStr">
        <is>
          <t>20D</t>
        </is>
      </c>
      <c r="B18" s="5" t="inlineStr">
        <is>
          <t>INCEDA</t>
        </is>
      </c>
      <c r="C18" s="23" t="n">
        <v>564</v>
      </c>
      <c r="D18" s="11" t="n">
        <v>46305.70833333334</v>
      </c>
      <c r="E18" s="11" t="n">
        <v>46306.20833333334</v>
      </c>
      <c r="F18" s="11" t="n">
        <v>46307.58333333334</v>
      </c>
      <c r="G18" s="28">
        <f>(F18-E18)*24</f>
        <v/>
      </c>
      <c r="H18" s="23" t="inlineStr">
        <is>
          <t>–</t>
        </is>
      </c>
      <c r="I18" s="23" t="inlineStr"/>
    </row>
    <row r="19">
      <c r="A19" s="5" t="inlineStr">
        <is>
          <t>20F</t>
        </is>
      </c>
      <c r="B19" s="5" t="inlineStr">
        <is>
          <t>XIN AN</t>
        </is>
      </c>
      <c r="C19" s="23" t="n">
        <v>564</v>
      </c>
      <c r="D19" s="11" t="n">
        <v>46302.54166666666</v>
      </c>
      <c r="E19" s="11" t="n">
        <v>46302.58333333334</v>
      </c>
      <c r="F19" s="11" t="n">
        <v>46304.54166666666</v>
      </c>
      <c r="G19" s="28">
        <f>(F19-E19)*24</f>
        <v/>
      </c>
      <c r="H19" s="23" t="inlineStr">
        <is>
          <t>–</t>
        </is>
      </c>
      <c r="I19" s="23" t="inlineStr"/>
    </row>
    <row r="20">
      <c r="A20" s="5" t="inlineStr">
        <is>
          <t>20F</t>
        </is>
      </c>
      <c r="B20" s="5" t="inlineStr">
        <is>
          <t>SAWASDEE ATLANTIC</t>
        </is>
      </c>
      <c r="C20" s="23" t="n">
        <v>564</v>
      </c>
      <c r="D20" s="11" t="n">
        <v>46302.83333333334</v>
      </c>
      <c r="E20" s="11" t="n">
        <v>46304.625</v>
      </c>
      <c r="F20" s="11" t="n">
        <v>46306.125</v>
      </c>
      <c r="G20" s="28">
        <f>(F20-E20)*24</f>
        <v/>
      </c>
      <c r="H20" s="23" t="inlineStr">
        <is>
          <t>–</t>
        </is>
      </c>
      <c r="I20" s="23" t="inlineStr"/>
    </row>
    <row r="21">
      <c r="A21" s="5" t="inlineStr">
        <is>
          <t>20F</t>
        </is>
      </c>
      <c r="B21" s="5" t="inlineStr">
        <is>
          <t>XIN MING ZHOU 102</t>
        </is>
      </c>
      <c r="C21" s="23" t="n">
        <v>564</v>
      </c>
      <c r="D21" s="11" t="n">
        <v>46305.875</v>
      </c>
      <c r="E21" s="11" t="n">
        <v>46306.20833333334</v>
      </c>
      <c r="F21" s="11" t="n">
        <v>46307.08333333334</v>
      </c>
      <c r="G21" s="28">
        <f>(F21-E21)*24</f>
        <v/>
      </c>
      <c r="H21" s="23" t="inlineStr">
        <is>
          <t>–</t>
        </is>
      </c>
      <c r="I21" s="23" t="inlineStr"/>
    </row>
    <row r="22">
      <c r="A22" s="5" t="inlineStr">
        <is>
          <t>22A</t>
        </is>
      </c>
      <c r="B22" s="5" t="inlineStr">
        <is>
          <t>HE JIN</t>
        </is>
      </c>
      <c r="C22" s="23" t="n">
        <v>552</v>
      </c>
      <c r="D22" s="11" t="n">
        <v>46302.79166666666</v>
      </c>
      <c r="E22" s="11" t="n">
        <v>46303.66666666666</v>
      </c>
      <c r="F22" s="11" t="n">
        <v>46304.08333333334</v>
      </c>
      <c r="G22" s="28">
        <f>(F22-E22)*24</f>
        <v/>
      </c>
      <c r="H22" s="23" t="inlineStr">
        <is>
          <t>20D</t>
        </is>
      </c>
      <c r="I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1" t="n"/>
    </row>
    <row r="27" ht="42" customHeight="1">
      <c r="A27" s="16" t="inlineStr">
        <is>
          <t>20D</t>
        </is>
      </c>
      <c r="B27" s="16" t="inlineStr">
        <is>
          <t>Berth closed</t>
        </is>
      </c>
      <c r="C27" s="43" t="n"/>
      <c r="D27" s="18" t="n">
        <v>46299</v>
      </c>
      <c r="E27" s="18" t="n">
        <v>46319</v>
      </c>
      <c r="F27" s="16" t="inlineStr">
        <is>
          <t>Close on 4–24 Oct 2026 to renovate electric channel (MTT BANGKOK has been alongside at 20D since 07/14, HE JIN shifts in on 09/02)  —  Unchanged – conflicts with vessel bookings, please confirm</t>
        </is>
      </c>
      <c r="G27" s="43" t="n"/>
      <c r="H27" s="43" t="n"/>
      <c r="I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row>
  </sheetData>
  <mergeCells count="3">
    <mergeCell ref="F26:I26"/>
    <mergeCell ref="F27:I27"/>
    <mergeCell ref="F28:I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2026-10-08T04:03:15Z</dcterms:created>
  <dcterms:modified xmlns:dcterms="http://purl.org/dc/terms/" xmlns:xsi="http://www.w3.org/2001/XMLSchema-instance" xsi:type="dcterms:W3CDTF">2026-10-08T04:03:16Z</dcterms:modified>
</cp:coreProperties>
</file>