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s>
  <definedNames>
    <definedName name="_xlnm._FilterDatabase" localSheetId="1" hidden="1">'Berth Notices'!$A$4:$G$56</definedName>
    <definedName name="_xlnm._FilterDatabase" localSheetId="2" hidden="1">'Vessel List by Berth'!$A$5:$O$62</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5" fillId="3"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6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6"/>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sheetData>
  <autoFilter ref="A4:G56"/>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46313.375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ZHONG GU BEI HAI</t>
        </is>
      </c>
      <c r="C8" s="23" t="n">
        <v>561</v>
      </c>
      <c r="D8" s="10" t="n">
        <v>46296</v>
      </c>
      <c r="E8" s="10" t="n">
        <v>46301</v>
      </c>
      <c r="F8" s="23" t="n">
        <v>6</v>
      </c>
      <c r="G8" s="6" t="inlineStr">
        <is>
          <t>20B → 20AB</t>
        </is>
      </c>
      <c r="H8" s="11" t="n">
        <v>46299.375</v>
      </c>
      <c r="I8" s="11" t="n">
        <v>46299.625</v>
      </c>
      <c r="J8" s="11" t="n">
        <v>46301.45833333334</v>
      </c>
      <c r="K8" s="24">
        <f>(I8-H8)*24</f>
        <v/>
      </c>
      <c r="L8" s="24">
        <f>(J8-I8)*24</f>
        <v/>
      </c>
      <c r="M8" s="23" t="inlineStr">
        <is>
          <t>–</t>
        </is>
      </c>
      <c r="N8" s="23" t="inlineStr"/>
      <c r="O8" s="23" t="inlineStr">
        <is>
          <t>Sailed</t>
        </is>
      </c>
    </row>
    <row r="9">
      <c r="A9" s="4" t="inlineStr">
        <is>
          <t>20AB</t>
        </is>
      </c>
      <c r="B9" s="4" t="inlineStr">
        <is>
          <t>KMTC TOKYO</t>
        </is>
      </c>
      <c r="C9" s="23" t="n">
        <v>565</v>
      </c>
      <c r="D9" s="10" t="n">
        <v>46299</v>
      </c>
      <c r="E9" s="10" t="n">
        <v>46303</v>
      </c>
      <c r="F9" s="23" t="n">
        <v>5</v>
      </c>
      <c r="G9" s="6" t="inlineStr">
        <is>
          <t>20F → 20AB</t>
        </is>
      </c>
      <c r="H9" s="11" t="n">
        <v>46301.54166666666</v>
      </c>
      <c r="I9" s="11" t="n">
        <v>46301.54166666666</v>
      </c>
      <c r="J9" s="11" t="n">
        <v>46303.5</v>
      </c>
      <c r="K9" s="24">
        <f>(I9-H9)*24</f>
        <v/>
      </c>
      <c r="L9" s="24">
        <f>(J9-I9)*24</f>
        <v/>
      </c>
      <c r="M9" s="23" t="inlineStr">
        <is>
          <t>–</t>
        </is>
      </c>
      <c r="N9" s="23" t="inlineStr"/>
      <c r="O9" s="23" t="inlineStr">
        <is>
          <t>Sailed</t>
        </is>
      </c>
    </row>
    <row r="10">
      <c r="A10" s="4" t="inlineStr">
        <is>
          <t>20AB</t>
        </is>
      </c>
      <c r="B10" s="4" t="inlineStr">
        <is>
          <t>GREEN PARK</t>
        </is>
      </c>
      <c r="C10" s="23" t="n">
        <v>482</v>
      </c>
      <c r="D10" s="10" t="n">
        <v>46300</v>
      </c>
      <c r="E10" s="10" t="n">
        <v>46304</v>
      </c>
      <c r="F10" s="23" t="n">
        <v>5</v>
      </c>
      <c r="G10" s="6" t="inlineStr">
        <is>
          <t>20AB → 20B → 20AB</t>
        </is>
      </c>
      <c r="H10" s="11" t="n">
        <v>46302.41666666666</v>
      </c>
      <c r="I10" s="11" t="n">
        <v>46303.58333333334</v>
      </c>
      <c r="J10" s="11" t="n">
        <v>46304.66666666666</v>
      </c>
      <c r="K10" s="24">
        <f>(I10-H10)*24</f>
        <v/>
      </c>
      <c r="L10" s="24">
        <f>(J10-I10)*24</f>
        <v/>
      </c>
      <c r="M10" s="23" t="inlineStr">
        <is>
          <t>–</t>
        </is>
      </c>
      <c r="N10" s="23" t="inlineStr"/>
      <c r="O10" s="23" t="inlineStr">
        <is>
          <t>Sailed</t>
        </is>
      </c>
    </row>
    <row r="11">
      <c r="A11" s="4" t="inlineStr">
        <is>
          <t>20AB</t>
        </is>
      </c>
      <c r="B11" s="4" t="inlineStr">
        <is>
          <t>KANWAY FORTUNE</t>
        </is>
      </c>
      <c r="C11" s="23" t="n">
        <v>564</v>
      </c>
      <c r="D11" s="10" t="n">
        <v>46301</v>
      </c>
      <c r="E11" s="10" t="n">
        <v>46305</v>
      </c>
      <c r="F11" s="23" t="n">
        <v>5</v>
      </c>
      <c r="G11" s="6" t="inlineStr">
        <is>
          <t>20D → 20F → 20AB</t>
        </is>
      </c>
      <c r="H11" s="11" t="n">
        <v>46303.66666666666</v>
      </c>
      <c r="I11" s="11" t="n">
        <v>46304.58333333334</v>
      </c>
      <c r="J11" s="11" t="n">
        <v>46305.625</v>
      </c>
      <c r="K11" s="24">
        <f>(I11-H11)*24</f>
        <v/>
      </c>
      <c r="L11" s="24">
        <f>(J11-I11)*24</f>
        <v/>
      </c>
      <c r="M11" s="23" t="inlineStr">
        <is>
          <t>–</t>
        </is>
      </c>
      <c r="N11" s="23" t="inlineStr"/>
      <c r="O11" s="23" t="inlineStr">
        <is>
          <t>Sailed</t>
        </is>
      </c>
    </row>
    <row r="12">
      <c r="A12" s="4" t="inlineStr">
        <is>
          <t>20AB</t>
        </is>
      </c>
      <c r="B12" s="4" t="inlineStr">
        <is>
          <t>CNC MARS</t>
        </is>
      </c>
      <c r="C12" s="23" t="n">
        <v>564</v>
      </c>
      <c r="D12" s="10" t="n">
        <v>46302</v>
      </c>
      <c r="E12" s="10" t="n">
        <v>46306</v>
      </c>
      <c r="F12" s="23" t="n">
        <v>5</v>
      </c>
      <c r="G12" s="5" t="inlineStr">
        <is>
          <t>20AB</t>
        </is>
      </c>
      <c r="H12" s="11" t="n">
        <v>46304.91666666666</v>
      </c>
      <c r="I12" s="11" t="n">
        <v>46305.625</v>
      </c>
      <c r="J12" s="11" t="n">
        <v>46306.625</v>
      </c>
      <c r="K12" s="24">
        <f>(I12-H12)*24</f>
        <v/>
      </c>
      <c r="L12" s="24">
        <f>(J12-I12)*24</f>
        <v/>
      </c>
      <c r="M12" s="23" t="inlineStr">
        <is>
          <t>–</t>
        </is>
      </c>
      <c r="N12" s="23" t="inlineStr"/>
      <c r="O12" s="23" t="inlineStr">
        <is>
          <t>Sailed</t>
        </is>
      </c>
    </row>
    <row r="13">
      <c r="A13" s="4" t="inlineStr">
        <is>
          <t>20AB</t>
        </is>
      </c>
      <c r="B13" s="4" t="inlineStr">
        <is>
          <t>SAMAL</t>
        </is>
      </c>
      <c r="C13" s="23" t="n">
        <v>564</v>
      </c>
      <c r="D13" s="10" t="n">
        <v>46304</v>
      </c>
      <c r="E13" s="10" t="n">
        <v>46308</v>
      </c>
      <c r="F13" s="23" t="n">
        <v>5</v>
      </c>
      <c r="G13" s="6" t="inlineStr">
        <is>
          <t>20AB → 20F → 20AB</t>
        </is>
      </c>
      <c r="H13" s="11" t="n">
        <v>46307.375</v>
      </c>
      <c r="I13" s="11" t="n">
        <v>46307.66666666666</v>
      </c>
      <c r="J13" s="11" t="n">
        <v>46309.20833333334</v>
      </c>
      <c r="K13" s="24">
        <f>(I13-H13)*24</f>
        <v/>
      </c>
      <c r="L13" s="24">
        <f>(J13-I13)*24</f>
        <v/>
      </c>
      <c r="M13" s="23" t="inlineStr">
        <is>
          <t>–</t>
        </is>
      </c>
      <c r="N13" s="23" t="inlineStr"/>
      <c r="O13" s="23" t="inlineStr">
        <is>
          <t>Sailed</t>
        </is>
      </c>
    </row>
    <row r="14">
      <c r="A14" s="4" t="inlineStr">
        <is>
          <t>20AB</t>
        </is>
      </c>
      <c r="B14" s="4" t="inlineStr">
        <is>
          <t>KMTC TAIPEIS</t>
        </is>
      </c>
      <c r="C14" s="23" t="n">
        <v>565</v>
      </c>
      <c r="D14" s="10" t="n">
        <v>46304</v>
      </c>
      <c r="E14" s="10" t="n">
        <v>46309</v>
      </c>
      <c r="F14" s="23" t="n">
        <v>6</v>
      </c>
      <c r="G14" s="6" t="inlineStr">
        <is>
          <t>20D → 20C → 20AB</t>
        </is>
      </c>
      <c r="H14" s="11" t="n">
        <v>46308.08333333334</v>
      </c>
      <c r="I14" s="11" t="n">
        <v>46309.20833333334</v>
      </c>
      <c r="J14" s="11" t="n">
        <v>46310.33333333334</v>
      </c>
      <c r="K14" s="24">
        <f>(I14-H14)*24</f>
        <v/>
      </c>
      <c r="L14" s="24">
        <f>(J14-I14)*24</f>
        <v/>
      </c>
      <c r="M14" s="23" t="inlineStr">
        <is>
          <t>–</t>
        </is>
      </c>
      <c r="N14" s="23" t="inlineStr"/>
      <c r="O14" s="23" t="inlineStr">
        <is>
          <t>Sailed</t>
        </is>
      </c>
    </row>
    <row r="15">
      <c r="A15" s="4" t="inlineStr">
        <is>
          <t>20AB</t>
        </is>
      </c>
      <c r="B15" s="4" t="inlineStr">
        <is>
          <t>WAN HAI 176</t>
        </is>
      </c>
      <c r="C15" s="23" t="n">
        <v>564</v>
      </c>
      <c r="D15" s="10" t="n">
        <v>46308</v>
      </c>
      <c r="E15" s="10" t="n">
        <v>46311</v>
      </c>
      <c r="F15" s="23" t="n">
        <v>4</v>
      </c>
      <c r="G15" s="6" t="inlineStr">
        <is>
          <t>20B → 20AB</t>
        </is>
      </c>
      <c r="H15" s="11" t="n">
        <v>46310.33333333334</v>
      </c>
      <c r="I15" s="11" t="n">
        <v>46310.375</v>
      </c>
      <c r="J15" s="11" t="n">
        <v>46311.66666666666</v>
      </c>
      <c r="K15" s="24">
        <f>(I15-H15)*24</f>
        <v/>
      </c>
      <c r="L15" s="24">
        <f>(J15-I15)*24</f>
        <v/>
      </c>
      <c r="M15" s="23" t="inlineStr">
        <is>
          <t>–</t>
        </is>
      </c>
      <c r="N15" s="23" t="inlineStr"/>
      <c r="O15" s="23" t="inlineStr">
        <is>
          <t>Sailed</t>
        </is>
      </c>
    </row>
    <row r="16">
      <c r="A16" s="4" t="inlineStr">
        <is>
          <t>20AB</t>
        </is>
      </c>
      <c r="B16" s="4" t="inlineStr">
        <is>
          <t>BANGKOK</t>
        </is>
      </c>
      <c r="C16" s="23" t="n">
        <v>551</v>
      </c>
      <c r="D16" s="10" t="n">
        <v>46293</v>
      </c>
      <c r="E16" s="10" t="n">
        <v>46313</v>
      </c>
      <c r="F16" s="23" t="n">
        <v>6</v>
      </c>
      <c r="G16" s="6" t="inlineStr">
        <is>
          <t>20D → 20AB</t>
        </is>
      </c>
      <c r="H16" s="11" t="n">
        <v>46311.625</v>
      </c>
      <c r="I16" s="11" t="n">
        <v>46312.375</v>
      </c>
      <c r="J16" s="11" t="n">
        <v>46314.33333333334</v>
      </c>
      <c r="K16" s="24">
        <f>(I16-H16)*24</f>
        <v/>
      </c>
      <c r="L16" s="24">
        <f>(J16-I16)*24</f>
        <v/>
      </c>
      <c r="M16" s="23" t="inlineStr">
        <is>
          <t>–</t>
        </is>
      </c>
      <c r="N16" s="23" t="inlineStr"/>
      <c r="O16" s="23">
        <f>IF(J16&lt;=$B$3,"Sailed",IF(I16&lt;=$B$3,"Alongside",IF(H16&lt;=$B$3,"At anchorage","Expected")))</f>
        <v/>
      </c>
    </row>
    <row r="17">
      <c r="A17" s="25" t="inlineStr">
        <is>
          <t>20B</t>
        </is>
      </c>
      <c r="B17" s="25" t="inlineStr">
        <is>
          <t>KMTC GWANGYANG</t>
        </is>
      </c>
      <c r="C17" s="26" t="n">
        <v>564</v>
      </c>
      <c r="D17" s="27" t="n">
        <v>46293</v>
      </c>
      <c r="E17" s="27" t="n">
        <v>46293</v>
      </c>
      <c r="F17" s="26" t="n">
        <v>1</v>
      </c>
      <c r="G17" s="28" t="inlineStr">
        <is>
          <t>20B</t>
        </is>
      </c>
      <c r="H17" s="29" t="n">
        <v>46292.79166666666</v>
      </c>
      <c r="I17" s="29" t="n">
        <v>46292.79166666666</v>
      </c>
      <c r="J17" s="29" t="n">
        <v>46294.20833333334</v>
      </c>
      <c r="K17" s="30">
        <f>(I17-H17)*24</f>
        <v/>
      </c>
      <c r="L17" s="30">
        <f>(J17-I17)*24</f>
        <v/>
      </c>
      <c r="M17" s="26" t="inlineStr">
        <is>
          <t>–</t>
        </is>
      </c>
      <c r="N17" s="26" t="inlineStr"/>
      <c r="O17" s="26" t="inlineStr">
        <is>
          <t>Sailed</t>
        </is>
      </c>
    </row>
    <row r="18">
      <c r="A18" s="4" t="inlineStr">
        <is>
          <t>20B</t>
        </is>
      </c>
      <c r="B18" s="4" t="inlineStr">
        <is>
          <t>MILLENNIUM BRIGHT</t>
        </is>
      </c>
      <c r="C18" s="23" t="n">
        <v>564</v>
      </c>
      <c r="D18" s="10" t="n">
        <v>46293</v>
      </c>
      <c r="E18" s="10" t="n">
        <v>46294</v>
      </c>
      <c r="F18" s="23" t="n">
        <v>2</v>
      </c>
      <c r="G18" s="5" t="inlineStr">
        <is>
          <t>20B</t>
        </is>
      </c>
      <c r="H18" s="11" t="n">
        <v>46293.45833333334</v>
      </c>
      <c r="I18" s="11" t="n">
        <v>46294.20833333334</v>
      </c>
      <c r="J18" s="11" t="n">
        <v>46295.16666666666</v>
      </c>
      <c r="K18" s="24">
        <f>(I18-H18)*24</f>
        <v/>
      </c>
      <c r="L18" s="24">
        <f>(J18-I18)*24</f>
        <v/>
      </c>
      <c r="M18" s="23" t="inlineStr">
        <is>
          <t>–</t>
        </is>
      </c>
      <c r="N18" s="23" t="inlineStr"/>
      <c r="O18" s="23" t="inlineStr">
        <is>
          <t>Sailed</t>
        </is>
      </c>
    </row>
    <row r="19">
      <c r="A19" s="4" t="inlineStr">
        <is>
          <t>20B</t>
        </is>
      </c>
      <c r="B19" s="4" t="inlineStr">
        <is>
          <t>YM IMPROVEMENT</t>
        </is>
      </c>
      <c r="C19" s="23" t="n">
        <v>564</v>
      </c>
      <c r="D19" s="10" t="n">
        <v>46296</v>
      </c>
      <c r="E19" s="10" t="n">
        <v>46300</v>
      </c>
      <c r="F19" s="23" t="n">
        <v>5</v>
      </c>
      <c r="G19" s="6" t="inlineStr">
        <is>
          <t>20C → 20B</t>
        </is>
      </c>
      <c r="H19" s="11" t="n">
        <v>46298.95833333334</v>
      </c>
      <c r="I19" s="11" t="n">
        <v>46299.41666666666</v>
      </c>
      <c r="J19" s="11" t="n">
        <v>46300.5</v>
      </c>
      <c r="K19" s="24">
        <f>(I19-H19)*24</f>
        <v/>
      </c>
      <c r="L19" s="24">
        <f>(J19-I19)*24</f>
        <v/>
      </c>
      <c r="M19" s="23" t="inlineStr">
        <is>
          <t>–</t>
        </is>
      </c>
      <c r="N19" s="23" t="inlineStr"/>
      <c r="O19" s="23" t="inlineStr">
        <is>
          <t>Sailed</t>
        </is>
      </c>
    </row>
    <row r="20">
      <c r="A20" s="4" t="inlineStr">
        <is>
          <t>20B</t>
        </is>
      </c>
      <c r="B20" s="4" t="inlineStr">
        <is>
          <t>SAWASDEE SPICA</t>
        </is>
      </c>
      <c r="C20" s="23" t="n">
        <v>564</v>
      </c>
      <c r="D20" s="10" t="n">
        <v>46299</v>
      </c>
      <c r="E20" s="10" t="n">
        <v>46303</v>
      </c>
      <c r="F20" s="23" t="n">
        <v>5</v>
      </c>
      <c r="G20" s="5" t="inlineStr">
        <is>
          <t>20B</t>
        </is>
      </c>
      <c r="H20" s="11" t="n">
        <v>46300.875</v>
      </c>
      <c r="I20" s="11" t="n">
        <v>46301.54166666666</v>
      </c>
      <c r="J20" s="11" t="n">
        <v>46303.54166666666</v>
      </c>
      <c r="K20" s="24">
        <f>(I20-H20)*24</f>
        <v/>
      </c>
      <c r="L20" s="24">
        <f>(J20-I20)*24</f>
        <v/>
      </c>
      <c r="M20" s="23" t="inlineStr">
        <is>
          <t>–</t>
        </is>
      </c>
      <c r="N20" s="23" t="inlineStr"/>
      <c r="O20" s="23" t="inlineStr">
        <is>
          <t>Sailed</t>
        </is>
      </c>
    </row>
    <row r="21">
      <c r="A21" s="4" t="inlineStr">
        <is>
          <t>20B</t>
        </is>
      </c>
      <c r="B21" s="4" t="inlineStr">
        <is>
          <t>SITC HOCHIMINH</t>
        </is>
      </c>
      <c r="C21" s="23" t="n">
        <v>470</v>
      </c>
      <c r="D21" s="10" t="n">
        <v>46301</v>
      </c>
      <c r="E21" s="10" t="n">
        <v>46304</v>
      </c>
      <c r="F21" s="23" t="n">
        <v>4</v>
      </c>
      <c r="G21" s="6" t="inlineStr">
        <is>
          <t>20AB → 20B</t>
        </is>
      </c>
      <c r="H21" s="11" t="n">
        <v>46302.625</v>
      </c>
      <c r="I21" s="11" t="n">
        <v>46303.58333333334</v>
      </c>
      <c r="J21" s="11" t="n">
        <v>46304.70833333334</v>
      </c>
      <c r="K21" s="24">
        <f>(I21-H21)*24</f>
        <v/>
      </c>
      <c r="L21" s="24">
        <f>(J21-I21)*24</f>
        <v/>
      </c>
      <c r="M21" s="23" t="inlineStr">
        <is>
          <t>–</t>
        </is>
      </c>
      <c r="N21" s="23" t="inlineStr"/>
      <c r="O21" s="23" t="inlineStr">
        <is>
          <t>Sailed</t>
        </is>
      </c>
    </row>
    <row r="22">
      <c r="A22" s="4" t="inlineStr">
        <is>
          <t>20B</t>
        </is>
      </c>
      <c r="B22" s="4" t="inlineStr">
        <is>
          <t>INDURO</t>
        </is>
      </c>
      <c r="C22" s="23" t="n">
        <v>565</v>
      </c>
      <c r="D22" s="10" t="n">
        <v>46302</v>
      </c>
      <c r="E22" s="10" t="n">
        <v>46305</v>
      </c>
      <c r="F22" s="23" t="n">
        <v>4</v>
      </c>
      <c r="G22" s="5" t="inlineStr">
        <is>
          <t>20B</t>
        </is>
      </c>
      <c r="H22" s="11" t="n">
        <v>46304.25</v>
      </c>
      <c r="I22" s="11" t="n">
        <v>46304.66666666666</v>
      </c>
      <c r="J22" s="11" t="n">
        <v>46306.16666666666</v>
      </c>
      <c r="K22" s="24">
        <f>(I22-H22)*24</f>
        <v/>
      </c>
      <c r="L22" s="24">
        <f>(J22-I22)*24</f>
        <v/>
      </c>
      <c r="M22" s="23" t="inlineStr">
        <is>
          <t>–</t>
        </is>
      </c>
      <c r="N22" s="23" t="inlineStr"/>
      <c r="O22" s="23" t="inlineStr">
        <is>
          <t>Sailed</t>
        </is>
      </c>
    </row>
    <row r="23">
      <c r="A23" s="4" t="inlineStr">
        <is>
          <t>20B</t>
        </is>
      </c>
      <c r="B23" s="4" t="inlineStr">
        <is>
          <t>XIN MING ZHOU 102</t>
        </is>
      </c>
      <c r="C23" s="23" t="n">
        <v>564</v>
      </c>
      <c r="D23" s="10" t="n">
        <v>46302</v>
      </c>
      <c r="E23" s="10" t="n">
        <v>46306</v>
      </c>
      <c r="F23" s="23" t="n">
        <v>5</v>
      </c>
      <c r="G23" s="6" t="inlineStr">
        <is>
          <t>20F → 20B</t>
        </is>
      </c>
      <c r="H23" s="11" t="n">
        <v>46305.875</v>
      </c>
      <c r="I23" s="11" t="n">
        <v>46306.20833333334</v>
      </c>
      <c r="J23" s="11" t="n">
        <v>46307.08333333334</v>
      </c>
      <c r="K23" s="24">
        <f>(I23-H23)*24</f>
        <v/>
      </c>
      <c r="L23" s="24">
        <f>(J23-I23)*24</f>
        <v/>
      </c>
      <c r="M23" s="23" t="inlineStr">
        <is>
          <t>–</t>
        </is>
      </c>
      <c r="N23" s="23" t="inlineStr"/>
      <c r="O23" s="23" t="inlineStr">
        <is>
          <t>Sailed</t>
        </is>
      </c>
    </row>
    <row r="24">
      <c r="A24" s="4" t="inlineStr">
        <is>
          <t>20B</t>
        </is>
      </c>
      <c r="B24" s="4" t="inlineStr">
        <is>
          <t>CEBU</t>
        </is>
      </c>
      <c r="C24" s="23" t="n">
        <v>564</v>
      </c>
      <c r="D24" s="10" t="n">
        <v>46306</v>
      </c>
      <c r="E24" s="10" t="n">
        <v>46309</v>
      </c>
      <c r="F24" s="23" t="n">
        <v>4</v>
      </c>
      <c r="G24" s="6" t="inlineStr">
        <is>
          <t>20AB → 20B</t>
        </is>
      </c>
      <c r="H24" s="11" t="n">
        <v>46307.91666666666</v>
      </c>
      <c r="I24" s="11" t="n">
        <v>46308.25</v>
      </c>
      <c r="J24" s="11" t="n">
        <v>46309.54166666666</v>
      </c>
      <c r="K24" s="24">
        <f>(I24-H24)*24</f>
        <v/>
      </c>
      <c r="L24" s="24">
        <f>(J24-I24)*24</f>
        <v/>
      </c>
      <c r="M24" s="23" t="inlineStr">
        <is>
          <t>–</t>
        </is>
      </c>
      <c r="N24" s="23" t="inlineStr"/>
      <c r="O24" s="23" t="inlineStr">
        <is>
          <t>Sailed</t>
        </is>
      </c>
    </row>
    <row r="25">
      <c r="A25" s="4" t="inlineStr">
        <is>
          <t>20B</t>
        </is>
      </c>
      <c r="B25" s="4" t="inlineStr">
        <is>
          <t>M ODYSSEY</t>
        </is>
      </c>
      <c r="C25" s="23" t="n">
        <v>449</v>
      </c>
      <c r="D25" s="10" t="n">
        <v>46293</v>
      </c>
      <c r="E25" s="10" t="n">
        <v>46309</v>
      </c>
      <c r="F25" s="23" t="n">
        <v>6</v>
      </c>
      <c r="G25" s="6" t="inlineStr">
        <is>
          <t>20B → 20C → 20B</t>
        </is>
      </c>
      <c r="H25" s="11" t="n">
        <v>46309.04166666666</v>
      </c>
      <c r="I25" s="11" t="n">
        <v>46309.625</v>
      </c>
      <c r="J25" s="11" t="n">
        <v>46310.20833333334</v>
      </c>
      <c r="K25" s="24">
        <f>(I25-H25)*24</f>
        <v/>
      </c>
      <c r="L25" s="24">
        <f>(J25-I25)*24</f>
        <v/>
      </c>
      <c r="M25" s="23" t="inlineStr">
        <is>
          <t>4A</t>
        </is>
      </c>
      <c r="N25" s="23" t="inlineStr"/>
      <c r="O25" s="23" t="inlineStr">
        <is>
          <t>Sailed</t>
        </is>
      </c>
    </row>
    <row r="26">
      <c r="A26" s="4" t="inlineStr">
        <is>
          <t>20B</t>
        </is>
      </c>
      <c r="B26" s="4" t="inlineStr">
        <is>
          <t>KHARIS HERITAGE</t>
        </is>
      </c>
      <c r="C26" s="23" t="n">
        <v>482</v>
      </c>
      <c r="D26" s="10" t="n">
        <v>46294</v>
      </c>
      <c r="E26" s="10" t="n">
        <v>46310</v>
      </c>
      <c r="F26" s="23" t="n">
        <v>7</v>
      </c>
      <c r="G26" s="6" t="inlineStr">
        <is>
          <t>20AB → 20B → 20C → 20B</t>
        </is>
      </c>
      <c r="H26" s="11" t="n">
        <v>46310.04166666666</v>
      </c>
      <c r="I26" s="11" t="n">
        <v>46310.25</v>
      </c>
      <c r="J26" s="11" t="n">
        <v>46311.29166666666</v>
      </c>
      <c r="K26" s="24">
        <f>(I26-H26)*24</f>
        <v/>
      </c>
      <c r="L26" s="24">
        <f>(J26-I26)*24</f>
        <v/>
      </c>
      <c r="M26" s="23" t="inlineStr">
        <is>
          <t>–</t>
        </is>
      </c>
      <c r="N26" s="23" t="inlineStr"/>
      <c r="O26" s="23" t="inlineStr">
        <is>
          <t>Sailed</t>
        </is>
      </c>
    </row>
    <row r="27">
      <c r="A27" s="4" t="inlineStr">
        <is>
          <t>20B</t>
        </is>
      </c>
      <c r="B27" s="4" t="inlineStr">
        <is>
          <t>TS CHIBA</t>
        </is>
      </c>
      <c r="C27" s="23" t="n">
        <v>485</v>
      </c>
      <c r="D27" s="10" t="n">
        <v>46293</v>
      </c>
      <c r="E27" s="10" t="n">
        <v>46312</v>
      </c>
      <c r="F27" s="23" t="n">
        <v>4</v>
      </c>
      <c r="G27" s="6" t="inlineStr">
        <is>
          <t>20E → 20C → 20B</t>
        </is>
      </c>
      <c r="H27" s="11" t="n">
        <v>46311.58333333334</v>
      </c>
      <c r="I27" s="11" t="n">
        <v>46311.58333333334</v>
      </c>
      <c r="J27" s="11" t="n">
        <v>46312.45833333334</v>
      </c>
      <c r="K27" s="24">
        <f>(I27-H27)*24</f>
        <v/>
      </c>
      <c r="L27" s="24">
        <f>(J27-I27)*24</f>
        <v/>
      </c>
      <c r="M27" s="23" t="inlineStr">
        <is>
          <t>–</t>
        </is>
      </c>
      <c r="N27" s="23" t="inlineStr"/>
      <c r="O27" s="23" t="inlineStr">
        <is>
          <t>Sailed</t>
        </is>
      </c>
    </row>
    <row r="28">
      <c r="A28" s="4" t="inlineStr">
        <is>
          <t>20B</t>
        </is>
      </c>
      <c r="B28" s="4" t="inlineStr">
        <is>
          <t>JARU BHUM</t>
        </is>
      </c>
      <c r="C28" s="23" t="n">
        <v>564</v>
      </c>
      <c r="D28" s="10" t="n">
        <v>46293</v>
      </c>
      <c r="E28" s="10" t="n">
        <v>46313</v>
      </c>
      <c r="F28" s="23" t="n">
        <v>5</v>
      </c>
      <c r="G28" s="6" t="inlineStr">
        <is>
          <t>20F → 20D → 20B</t>
        </is>
      </c>
      <c r="H28" s="11" t="n">
        <v>46312.66666666666</v>
      </c>
      <c r="I28" s="11" t="n">
        <v>46312.66666666666</v>
      </c>
      <c r="J28" s="11" t="n">
        <v>46313.41666666666</v>
      </c>
      <c r="K28" s="24">
        <f>(I28-H28)*24</f>
        <v/>
      </c>
      <c r="L28" s="24">
        <f>(J28-I28)*24</f>
        <v/>
      </c>
      <c r="M28" s="23" t="inlineStr">
        <is>
          <t>7B</t>
        </is>
      </c>
      <c r="N28" s="23" t="inlineStr"/>
      <c r="O28" s="23">
        <f>IF(J28&lt;=$B$3,"Sailed",IF(I28&lt;=$B$3,"Alongside",IF(H28&lt;=$B$3,"At anchorage","Expected")))</f>
        <v/>
      </c>
    </row>
    <row r="29">
      <c r="A29" s="4" t="inlineStr">
        <is>
          <t>20B</t>
        </is>
      </c>
      <c r="B29" s="4" t="inlineStr">
        <is>
          <t>MTT BANGKOK</t>
        </is>
      </c>
      <c r="C29" s="23" t="n">
        <v>564</v>
      </c>
      <c r="D29" s="10" t="n">
        <v>46300</v>
      </c>
      <c r="E29" s="10" t="n">
        <v>46313</v>
      </c>
      <c r="F29" s="23" t="n">
        <v>5</v>
      </c>
      <c r="G29" s="6" t="inlineStr">
        <is>
          <t>20D → 20B</t>
        </is>
      </c>
      <c r="H29" s="11" t="n">
        <v>46315.625</v>
      </c>
      <c r="I29" s="11" t="n">
        <v>46315.625</v>
      </c>
      <c r="J29" s="11" t="n">
        <v>46316.54166666666</v>
      </c>
      <c r="K29" s="24">
        <f>(I29-H29)*24</f>
        <v/>
      </c>
      <c r="L29" s="24">
        <f>(J29-I29)*24</f>
        <v/>
      </c>
      <c r="M29" s="23" t="inlineStr">
        <is>
          <t>–</t>
        </is>
      </c>
      <c r="N29" s="23" t="inlineStr"/>
      <c r="O29" s="23">
        <f>IF(J29&lt;=$B$3,"Sailed",IF(I29&lt;=$B$3,"Alongside",IF(H29&lt;=$B$3,"At anchorage","Expected")))</f>
        <v/>
      </c>
    </row>
    <row r="30">
      <c r="A30" s="25" t="inlineStr">
        <is>
          <t>20C</t>
        </is>
      </c>
      <c r="B30" s="25" t="inlineStr">
        <is>
          <t>SAWASDEE DENEB</t>
        </is>
      </c>
      <c r="C30" s="26" t="n">
        <v>564</v>
      </c>
      <c r="D30" s="27" t="n">
        <v>46297</v>
      </c>
      <c r="E30" s="27" t="n">
        <v>46302</v>
      </c>
      <c r="F30" s="26" t="n">
        <v>6</v>
      </c>
      <c r="G30" s="28" t="inlineStr">
        <is>
          <t>20C</t>
        </is>
      </c>
      <c r="H30" s="29" t="n">
        <v>46300</v>
      </c>
      <c r="I30" s="29" t="n">
        <v>46300.5</v>
      </c>
      <c r="J30" s="29" t="n">
        <v>46302.45833333334</v>
      </c>
      <c r="K30" s="30">
        <f>(I30-H30)*24</f>
        <v/>
      </c>
      <c r="L30" s="30">
        <f>(J30-I30)*24</f>
        <v/>
      </c>
      <c r="M30" s="26" t="inlineStr">
        <is>
          <t>–</t>
        </is>
      </c>
      <c r="N30" s="26" t="inlineStr"/>
      <c r="O30" s="26" t="inlineStr">
        <is>
          <t>Sailed</t>
        </is>
      </c>
    </row>
    <row r="31">
      <c r="A31" s="4" t="inlineStr">
        <is>
          <t>20C</t>
        </is>
      </c>
      <c r="B31" s="4" t="inlineStr">
        <is>
          <t>JOSCO LUCKY</t>
        </is>
      </c>
      <c r="C31" s="23" t="n">
        <v>564</v>
      </c>
      <c r="D31" s="10" t="n">
        <v>46297</v>
      </c>
      <c r="E31" s="10" t="n">
        <v>46303</v>
      </c>
      <c r="F31" s="23" t="n">
        <v>7</v>
      </c>
      <c r="G31" s="6" t="inlineStr">
        <is>
          <t>20B → 20AB → 20D → 20C</t>
        </is>
      </c>
      <c r="H31" s="11" t="n">
        <v>46301.875</v>
      </c>
      <c r="I31" s="11" t="n">
        <v>46302.54166666666</v>
      </c>
      <c r="J31" s="11" t="n">
        <v>46303.54166666666</v>
      </c>
      <c r="K31" s="24">
        <f>(I31-H31)*24</f>
        <v/>
      </c>
      <c r="L31" s="24">
        <f>(J31-I31)*24</f>
        <v/>
      </c>
      <c r="M31" s="23" t="inlineStr">
        <is>
          <t>–</t>
        </is>
      </c>
      <c r="N31" s="23" t="inlineStr"/>
      <c r="O31" s="23" t="inlineStr">
        <is>
          <t>Sailed</t>
        </is>
      </c>
    </row>
    <row r="32">
      <c r="A32" s="4" t="inlineStr">
        <is>
          <t>20C</t>
        </is>
      </c>
      <c r="B32" s="4" t="inlineStr">
        <is>
          <t>ZHONG GU DONG HAI</t>
        </is>
      </c>
      <c r="C32" s="23" t="n">
        <v>564</v>
      </c>
      <c r="D32" s="10" t="n">
        <v>46301</v>
      </c>
      <c r="E32" s="10" t="n">
        <v>46304</v>
      </c>
      <c r="F32" s="23" t="n">
        <v>4</v>
      </c>
      <c r="G32" s="5" t="inlineStr">
        <is>
          <t>20C</t>
        </is>
      </c>
      <c r="H32" s="11" t="n">
        <v>46302.58333333334</v>
      </c>
      <c r="I32" s="11" t="n">
        <v>46303.58333333334</v>
      </c>
      <c r="J32" s="11" t="n">
        <v>46304.58333333334</v>
      </c>
      <c r="K32" s="24">
        <f>(I32-H32)*24</f>
        <v/>
      </c>
      <c r="L32" s="24">
        <f>(J32-I32)*24</f>
        <v/>
      </c>
      <c r="M32" s="23" t="inlineStr">
        <is>
          <t>–</t>
        </is>
      </c>
      <c r="N32" s="23" t="inlineStr"/>
      <c r="O32" s="23" t="inlineStr">
        <is>
          <t>Sailed</t>
        </is>
      </c>
    </row>
    <row r="33">
      <c r="A33" s="31" t="inlineStr">
        <is>
          <t>20C</t>
        </is>
      </c>
      <c r="B33" s="31" t="inlineStr">
        <is>
          <t>YM INCEPTION</t>
        </is>
      </c>
      <c r="C33" s="17" t="n">
        <v>564</v>
      </c>
      <c r="D33" s="18" t="n">
        <v>46301</v>
      </c>
      <c r="E33" s="18" t="n">
        <v>46305</v>
      </c>
      <c r="F33" s="17" t="n">
        <v>5</v>
      </c>
      <c r="G33" s="6" t="inlineStr">
        <is>
          <t>20AB → 20C</t>
        </is>
      </c>
      <c r="H33" s="20" t="n">
        <v>46303.54166666666</v>
      </c>
      <c r="I33" s="20" t="n">
        <v>46304.54166666666</v>
      </c>
      <c r="J33" s="20" t="n">
        <v>46305.58333333334</v>
      </c>
      <c r="K33" s="32">
        <f>(I33-H33)*24</f>
        <v/>
      </c>
      <c r="L33" s="32">
        <f>(J33-I33)*24</f>
        <v/>
      </c>
      <c r="M33" s="17" t="inlineStr">
        <is>
          <t>–</t>
        </is>
      </c>
      <c r="N33" s="17" t="inlineStr">
        <is>
          <t>Yes</t>
        </is>
      </c>
      <c r="O33" s="17" t="inlineStr">
        <is>
          <t>Sailed</t>
        </is>
      </c>
    </row>
    <row r="34">
      <c r="A34" s="4" t="inlineStr">
        <is>
          <t>20C</t>
        </is>
      </c>
      <c r="B34" s="4" t="inlineStr">
        <is>
          <t>STARSHIP AQUILA</t>
        </is>
      </c>
      <c r="C34" s="23" t="n">
        <v>565</v>
      </c>
      <c r="D34" s="10" t="n">
        <v>46303</v>
      </c>
      <c r="E34" s="10" t="n">
        <v>46306</v>
      </c>
      <c r="F34" s="23" t="n">
        <v>4</v>
      </c>
      <c r="G34" s="5" t="inlineStr">
        <is>
          <t>20C</t>
        </is>
      </c>
      <c r="H34" s="11" t="n">
        <v>46304.91666666666</v>
      </c>
      <c r="I34" s="11" t="n">
        <v>46305.58333333334</v>
      </c>
      <c r="J34" s="11" t="n">
        <v>46307.08333333334</v>
      </c>
      <c r="K34" s="24">
        <f>(I34-H34)*24</f>
        <v/>
      </c>
      <c r="L34" s="24">
        <f>(J34-I34)*24</f>
        <v/>
      </c>
      <c r="M34" s="23" t="inlineStr">
        <is>
          <t>–</t>
        </is>
      </c>
      <c r="N34" s="23" t="inlineStr"/>
      <c r="O34" s="23" t="inlineStr">
        <is>
          <t>Sailed</t>
        </is>
      </c>
    </row>
    <row r="35">
      <c r="A35" s="4" t="inlineStr">
        <is>
          <t>20C</t>
        </is>
      </c>
      <c r="B35" s="4" t="inlineStr">
        <is>
          <t>WAN HAI 277</t>
        </is>
      </c>
      <c r="C35" s="23" t="n">
        <v>564</v>
      </c>
      <c r="D35" s="10" t="n">
        <v>46305</v>
      </c>
      <c r="E35" s="10" t="n">
        <v>46309</v>
      </c>
      <c r="F35" s="23" t="n">
        <v>5</v>
      </c>
      <c r="G35" s="6" t="inlineStr">
        <is>
          <t>20F → 20B → 20C</t>
        </is>
      </c>
      <c r="H35" s="11" t="n">
        <v>46307.875</v>
      </c>
      <c r="I35" s="11" t="n">
        <v>46308.25</v>
      </c>
      <c r="J35" s="11" t="n">
        <v>46309.66666666666</v>
      </c>
      <c r="K35" s="24">
        <f>(I35-H35)*24</f>
        <v/>
      </c>
      <c r="L35" s="24">
        <f>(J35-I35)*24</f>
        <v/>
      </c>
      <c r="M35" s="23" t="inlineStr">
        <is>
          <t>–</t>
        </is>
      </c>
      <c r="N35" s="23" t="inlineStr"/>
      <c r="O35" s="23" t="inlineStr">
        <is>
          <t>Sailed</t>
        </is>
      </c>
    </row>
    <row r="36">
      <c r="A36" s="4" t="inlineStr">
        <is>
          <t>20C</t>
        </is>
      </c>
      <c r="B36" s="4" t="inlineStr">
        <is>
          <t>WAN HAI 173</t>
        </is>
      </c>
      <c r="C36" s="23" t="n">
        <v>565</v>
      </c>
      <c r="D36" s="10" t="n">
        <v>46307</v>
      </c>
      <c r="E36" s="10" t="n">
        <v>46309</v>
      </c>
      <c r="F36" s="23" t="n">
        <v>3</v>
      </c>
      <c r="G36" s="6" t="inlineStr">
        <is>
          <t>20B → 20C</t>
        </is>
      </c>
      <c r="H36" s="11" t="n">
        <v>46309.04166666666</v>
      </c>
      <c r="I36" s="11" t="n">
        <v>46309.66666666666</v>
      </c>
      <c r="J36" s="11" t="n">
        <v>46310.29166666666</v>
      </c>
      <c r="K36" s="24">
        <f>(I36-H36)*24</f>
        <v/>
      </c>
      <c r="L36" s="24">
        <f>(J36-I36)*24</f>
        <v/>
      </c>
      <c r="M36" s="23" t="inlineStr">
        <is>
          <t>–</t>
        </is>
      </c>
      <c r="N36" s="23" t="inlineStr"/>
      <c r="O36" s="23" t="inlineStr">
        <is>
          <t>Sailed</t>
        </is>
      </c>
    </row>
    <row r="37">
      <c r="A37" s="4" t="inlineStr">
        <is>
          <t>20C</t>
        </is>
      </c>
      <c r="B37" s="4" t="inlineStr">
        <is>
          <t>WAN HAI 175</t>
        </is>
      </c>
      <c r="C37" s="23" t="n">
        <v>565</v>
      </c>
      <c r="D37" s="10" t="n">
        <v>46308</v>
      </c>
      <c r="E37" s="10" t="n">
        <v>46311</v>
      </c>
      <c r="F37" s="23" t="n">
        <v>4</v>
      </c>
      <c r="G37" s="6" t="inlineStr">
        <is>
          <t>20D → 20C</t>
        </is>
      </c>
      <c r="H37" s="11" t="n">
        <v>46309.875</v>
      </c>
      <c r="I37" s="11" t="n">
        <v>46310.29166666666</v>
      </c>
      <c r="J37" s="11" t="n">
        <v>46311.625</v>
      </c>
      <c r="K37" s="24">
        <f>(I37-H37)*24</f>
        <v/>
      </c>
      <c r="L37" s="24">
        <f>(J37-I37)*24</f>
        <v/>
      </c>
      <c r="M37" s="23" t="inlineStr">
        <is>
          <t>–</t>
        </is>
      </c>
      <c r="N37" s="23" t="inlineStr"/>
      <c r="O37" s="23" t="inlineStr">
        <is>
          <t>Sailed</t>
        </is>
      </c>
    </row>
    <row r="38">
      <c r="A38" s="4" t="inlineStr">
        <is>
          <t>20C</t>
        </is>
      </c>
      <c r="B38" s="4" t="inlineStr">
        <is>
          <t>LITTLE DOLPHIN</t>
        </is>
      </c>
      <c r="C38" s="23" t="n">
        <v>564</v>
      </c>
      <c r="D38" s="10" t="n">
        <v>46310</v>
      </c>
      <c r="E38" s="10" t="n">
        <v>46313</v>
      </c>
      <c r="F38" s="23" t="n">
        <v>4</v>
      </c>
      <c r="G38" s="6" t="inlineStr">
        <is>
          <t>20B → 20C</t>
        </is>
      </c>
      <c r="H38" s="11" t="n">
        <v>46312.04166666666</v>
      </c>
      <c r="I38" s="11" t="n">
        <v>46312.33333333334</v>
      </c>
      <c r="J38" s="11" t="n">
        <v>46313.66666666666</v>
      </c>
      <c r="K38" s="24">
        <f>(I38-H38)*24</f>
        <v/>
      </c>
      <c r="L38" s="24">
        <f>(J38-I38)*24</f>
        <v/>
      </c>
      <c r="M38" s="23" t="inlineStr">
        <is>
          <t>–</t>
        </is>
      </c>
      <c r="N38" s="23" t="inlineStr"/>
      <c r="O38" s="23">
        <f>IF(J38&lt;=$B$3,"Sailed",IF(I38&lt;=$B$3,"Alongside",IF(H38&lt;=$B$3,"At anchorage","Expected")))</f>
        <v/>
      </c>
    </row>
    <row r="39">
      <c r="A39" s="4" t="inlineStr">
        <is>
          <t>20C</t>
        </is>
      </c>
      <c r="B39" s="4" t="inlineStr">
        <is>
          <t>CAPE FAWLEY</t>
        </is>
      </c>
      <c r="C39" s="23" t="n">
        <v>558</v>
      </c>
      <c r="D39" s="10" t="n">
        <v>46293</v>
      </c>
      <c r="E39" s="10" t="n">
        <v>46311</v>
      </c>
      <c r="F39" s="23" t="n">
        <v>7</v>
      </c>
      <c r="G39" s="6" t="inlineStr">
        <is>
          <t>20AB → 20C → 20AB → 20C</t>
        </is>
      </c>
      <c r="H39" s="11" t="n">
        <v>46314.75</v>
      </c>
      <c r="I39" s="11" t="n">
        <v>46314.75</v>
      </c>
      <c r="J39" s="11" t="n">
        <v>46316.45833333334</v>
      </c>
      <c r="K39" s="24">
        <f>(I39-H39)*24</f>
        <v/>
      </c>
      <c r="L39" s="24">
        <f>(J39-I39)*24</f>
        <v/>
      </c>
      <c r="M39" s="23" t="inlineStr">
        <is>
          <t>–</t>
        </is>
      </c>
      <c r="N39" s="23" t="inlineStr"/>
      <c r="O39" s="23" t="inlineStr">
        <is>
          <t>Sailed</t>
        </is>
      </c>
    </row>
    <row r="40">
      <c r="A40" s="4" t="inlineStr">
        <is>
          <t>20C</t>
        </is>
      </c>
      <c r="B40" s="4" t="inlineStr">
        <is>
          <t>MITRA BHUM</t>
        </is>
      </c>
      <c r="C40" s="23" t="n">
        <v>485</v>
      </c>
      <c r="D40" s="10" t="n">
        <v>46293</v>
      </c>
      <c r="E40" s="10" t="n">
        <v>46313</v>
      </c>
      <c r="F40" s="23" t="n">
        <v>6</v>
      </c>
      <c r="G40" s="6" t="inlineStr">
        <is>
          <t>20F → 20E → 20D → 20AB → 20C</t>
        </is>
      </c>
      <c r="H40" s="11" t="n">
        <v>46315.70833333334</v>
      </c>
      <c r="I40" s="11" t="n">
        <v>46315.70833333334</v>
      </c>
      <c r="J40" s="11" t="n">
        <v>46316.54166666666</v>
      </c>
      <c r="K40" s="24">
        <f>(I40-H40)*24</f>
        <v/>
      </c>
      <c r="L40" s="24">
        <f>(J40-I40)*24</f>
        <v/>
      </c>
      <c r="M40" s="23" t="inlineStr">
        <is>
          <t>–</t>
        </is>
      </c>
      <c r="N40" s="23" t="inlineStr"/>
      <c r="O40" s="23">
        <f>IF(J40&lt;=$B$3,"Sailed",IF(I40&lt;=$B$3,"Alongside",IF(H40&lt;=$B$3,"At anchorage","Expected")))</f>
        <v/>
      </c>
    </row>
    <row r="41">
      <c r="A41" s="25" t="inlineStr">
        <is>
          <t>20D</t>
        </is>
      </c>
      <c r="B41" s="25" t="inlineStr">
        <is>
          <t>HARI BHUM (Barge)</t>
        </is>
      </c>
      <c r="C41" s="26" t="n">
        <v>259</v>
      </c>
      <c r="D41" s="27" t="n">
        <v>46297</v>
      </c>
      <c r="E41" s="27" t="n">
        <v>46298</v>
      </c>
      <c r="F41" s="26" t="n">
        <v>2</v>
      </c>
      <c r="G41" s="28" t="inlineStr">
        <is>
          <t>20D</t>
        </is>
      </c>
      <c r="H41" s="29" t="n">
        <v>46298.20833333334</v>
      </c>
      <c r="I41" s="29" t="n">
        <v>46298.29166666666</v>
      </c>
      <c r="J41" s="29" t="n">
        <v>46298.66666666666</v>
      </c>
      <c r="K41" s="30">
        <f>(I41-H41)*24</f>
        <v/>
      </c>
      <c r="L41" s="30">
        <f>(J41-I41)*24</f>
        <v/>
      </c>
      <c r="M41" s="26" t="inlineStr">
        <is>
          <t>–</t>
        </is>
      </c>
      <c r="N41" s="26" t="inlineStr"/>
      <c r="O41" s="26" t="inlineStr">
        <is>
          <t>Sailed</t>
        </is>
      </c>
    </row>
    <row r="42">
      <c r="A42" s="4" t="inlineStr">
        <is>
          <t>20D</t>
        </is>
      </c>
      <c r="B42" s="4" t="inlineStr">
        <is>
          <t>HE JIN</t>
        </is>
      </c>
      <c r="C42" s="23" t="n">
        <v>552</v>
      </c>
      <c r="D42" s="10" t="n">
        <v>46301</v>
      </c>
      <c r="E42" s="10" t="n">
        <v>46305</v>
      </c>
      <c r="F42" s="23" t="n">
        <v>5</v>
      </c>
      <c r="G42" s="6" t="inlineStr">
        <is>
          <t>20B → 20AB → 22A → 20D</t>
        </is>
      </c>
      <c r="H42" s="11" t="n">
        <v>46304</v>
      </c>
      <c r="I42" s="11" t="n">
        <v>46304</v>
      </c>
      <c r="J42" s="11" t="n">
        <v>46305.54166666666</v>
      </c>
      <c r="K42" s="24">
        <f>(I42-H42)*24</f>
        <v/>
      </c>
      <c r="L42" s="24">
        <f>(J42-I42)*24</f>
        <v/>
      </c>
      <c r="M42" s="23" t="inlineStr">
        <is>
          <t>–</t>
        </is>
      </c>
      <c r="N42" s="23" t="inlineStr"/>
      <c r="O42" s="23" t="inlineStr">
        <is>
          <t>Sailed</t>
        </is>
      </c>
    </row>
    <row r="43">
      <c r="A43" s="4" t="inlineStr">
        <is>
          <t>20D</t>
        </is>
      </c>
      <c r="B43" s="4" t="inlineStr">
        <is>
          <t>CUL HAIPHONG</t>
        </is>
      </c>
      <c r="C43" s="23" t="n">
        <v>458</v>
      </c>
      <c r="D43" s="10" t="n">
        <v>46302</v>
      </c>
      <c r="E43" s="10" t="n">
        <v>46305</v>
      </c>
      <c r="F43" s="23" t="n">
        <v>4</v>
      </c>
      <c r="G43" s="6" t="inlineStr">
        <is>
          <t>20B → 20D</t>
        </is>
      </c>
      <c r="H43" s="11" t="n">
        <v>46304.83333333334</v>
      </c>
      <c r="I43" s="11" t="n">
        <v>46305.66666666666</v>
      </c>
      <c r="J43" s="11" t="n">
        <v>46306.25</v>
      </c>
      <c r="K43" s="24">
        <f>(I43-H43)*24</f>
        <v/>
      </c>
      <c r="L43" s="24">
        <f>(J43-I43)*24</f>
        <v/>
      </c>
      <c r="M43" s="23" t="inlineStr">
        <is>
          <t>4A</t>
        </is>
      </c>
      <c r="N43" s="23" t="inlineStr"/>
      <c r="O43" s="23" t="inlineStr">
        <is>
          <t>Sailed</t>
        </is>
      </c>
    </row>
    <row r="44">
      <c r="A44" s="4" t="inlineStr">
        <is>
          <t>20D</t>
        </is>
      </c>
      <c r="B44" s="4" t="inlineStr">
        <is>
          <t>INCEDA</t>
        </is>
      </c>
      <c r="C44" s="23" t="n">
        <v>564</v>
      </c>
      <c r="D44" s="10" t="n">
        <v>46303</v>
      </c>
      <c r="E44" s="10" t="n">
        <v>46307</v>
      </c>
      <c r="F44" s="23" t="n">
        <v>5</v>
      </c>
      <c r="G44" s="5" t="inlineStr">
        <is>
          <t>20D</t>
        </is>
      </c>
      <c r="H44" s="11" t="n">
        <v>46305.70833333334</v>
      </c>
      <c r="I44" s="11" t="n">
        <v>46306.25</v>
      </c>
      <c r="J44" s="11" t="n">
        <v>46307.58333333334</v>
      </c>
      <c r="K44" s="24">
        <f>(I44-H44)*24</f>
        <v/>
      </c>
      <c r="L44" s="24">
        <f>(J44-I44)*24</f>
        <v/>
      </c>
      <c r="M44" s="23" t="inlineStr">
        <is>
          <t>–</t>
        </is>
      </c>
      <c r="N44" s="23" t="inlineStr"/>
      <c r="O44" s="23" t="inlineStr">
        <is>
          <t>Sailed</t>
        </is>
      </c>
    </row>
    <row r="45">
      <c r="A45" s="4" t="inlineStr">
        <is>
          <t>20D</t>
        </is>
      </c>
      <c r="B45" s="4" t="inlineStr">
        <is>
          <t>SAWASDEE SUNRISE</t>
        </is>
      </c>
      <c r="C45" s="23" t="n">
        <v>564</v>
      </c>
      <c r="D45" s="10" t="n">
        <v>46304</v>
      </c>
      <c r="E45" s="10" t="n">
        <v>46308</v>
      </c>
      <c r="F45" s="23" t="n">
        <v>5</v>
      </c>
      <c r="G45" s="6" t="inlineStr">
        <is>
          <t>20F → 20D</t>
        </is>
      </c>
      <c r="H45" s="11" t="n">
        <v>46307.16666666666</v>
      </c>
      <c r="I45" s="11" t="n">
        <v>46307.66666666666</v>
      </c>
      <c r="J45" s="11" t="n">
        <v>46309.20833333334</v>
      </c>
      <c r="K45" s="24">
        <f>(I45-H45)*24</f>
        <v/>
      </c>
      <c r="L45" s="24">
        <f>(J45-I45)*24</f>
        <v/>
      </c>
      <c r="M45" s="23" t="inlineStr">
        <is>
          <t>–</t>
        </is>
      </c>
      <c r="N45" s="23" t="inlineStr"/>
      <c r="O45" s="23" t="inlineStr">
        <is>
          <t>Sailed</t>
        </is>
      </c>
    </row>
    <row r="46">
      <c r="A46" s="4" t="inlineStr">
        <is>
          <t>20D</t>
        </is>
      </c>
      <c r="B46" s="4" t="inlineStr">
        <is>
          <t>KHUNA BHUM</t>
        </is>
      </c>
      <c r="C46" s="23" t="n">
        <v>564</v>
      </c>
      <c r="D46" s="10" t="n">
        <v>46305</v>
      </c>
      <c r="E46" s="10" t="n">
        <v>46309</v>
      </c>
      <c r="F46" s="23" t="n">
        <v>5</v>
      </c>
      <c r="G46" s="6" t="inlineStr">
        <is>
          <t>20AB → 20D</t>
        </is>
      </c>
      <c r="H46" s="11" t="n">
        <v>46308.45833333334</v>
      </c>
      <c r="I46" s="11" t="n">
        <v>46309.20833333334</v>
      </c>
      <c r="J46" s="11" t="n">
        <v>46309.91666666666</v>
      </c>
      <c r="K46" s="24">
        <f>(I46-H46)*24</f>
        <v/>
      </c>
      <c r="L46" s="24">
        <f>(J46-I46)*24</f>
        <v/>
      </c>
      <c r="M46" s="23" t="inlineStr">
        <is>
          <t>7B</t>
        </is>
      </c>
      <c r="N46" s="23" t="inlineStr"/>
      <c r="O46" s="23" t="inlineStr">
        <is>
          <t>Sailed</t>
        </is>
      </c>
    </row>
    <row r="47">
      <c r="A47" s="4" t="inlineStr">
        <is>
          <t>20D</t>
        </is>
      </c>
      <c r="B47" s="4" t="inlineStr">
        <is>
          <t>SITC DALIAN</t>
        </is>
      </c>
      <c r="C47" s="23" t="n">
        <v>470</v>
      </c>
      <c r="D47" s="10" t="n">
        <v>46309</v>
      </c>
      <c r="E47" s="10" t="n">
        <v>46310</v>
      </c>
      <c r="F47" s="23" t="n">
        <v>2</v>
      </c>
      <c r="G47" s="5" t="inlineStr">
        <is>
          <t>20D</t>
        </is>
      </c>
      <c r="H47" s="11" t="n">
        <v>46309.33333333334</v>
      </c>
      <c r="I47" s="11" t="n">
        <v>46310.20833333334</v>
      </c>
      <c r="J47" s="11" t="n">
        <v>46311.25</v>
      </c>
      <c r="K47" s="24">
        <f>(I47-H47)*24</f>
        <v/>
      </c>
      <c r="L47" s="24">
        <f>(J47-I47)*24</f>
        <v/>
      </c>
      <c r="M47" s="23" t="inlineStr">
        <is>
          <t>–</t>
        </is>
      </c>
      <c r="N47" s="23" t="inlineStr"/>
      <c r="O47" s="23" t="inlineStr">
        <is>
          <t>Sailed</t>
        </is>
      </c>
    </row>
    <row r="48">
      <c r="A48" s="4" t="inlineStr">
        <is>
          <t>20D</t>
        </is>
      </c>
      <c r="B48" s="4" t="inlineStr">
        <is>
          <t>WAN HAI 172</t>
        </is>
      </c>
      <c r="C48" s="23" t="n">
        <v>565</v>
      </c>
      <c r="D48" s="10" t="n">
        <v>46309</v>
      </c>
      <c r="E48" s="10" t="n">
        <v>46311</v>
      </c>
      <c r="F48" s="23" t="n">
        <v>3</v>
      </c>
      <c r="G48" s="5" t="inlineStr">
        <is>
          <t>20D</t>
        </is>
      </c>
      <c r="H48" s="11" t="n">
        <v>46311.04166666666</v>
      </c>
      <c r="I48" s="11" t="n">
        <v>46311.29166666666</v>
      </c>
      <c r="J48" s="11" t="n">
        <v>46312.33333333334</v>
      </c>
      <c r="K48" s="24">
        <f>(I48-H48)*24</f>
        <v/>
      </c>
      <c r="L48" s="24">
        <f>(J48-I48)*24</f>
        <v/>
      </c>
      <c r="M48" s="23" t="inlineStr">
        <is>
          <t>–</t>
        </is>
      </c>
      <c r="N48" s="23" t="inlineStr"/>
      <c r="O48" s="23" t="inlineStr">
        <is>
          <t>Sailed</t>
        </is>
      </c>
    </row>
    <row r="49">
      <c r="A49" s="4" t="inlineStr">
        <is>
          <t>20D</t>
        </is>
      </c>
      <c r="B49" s="4" t="inlineStr">
        <is>
          <t>PUNNYA NAVEE</t>
        </is>
      </c>
      <c r="C49" s="23" t="n">
        <v>304</v>
      </c>
      <c r="D49" s="10" t="n">
        <v>46311</v>
      </c>
      <c r="E49" s="10" t="n">
        <v>46312</v>
      </c>
      <c r="F49" s="23" t="n">
        <v>2</v>
      </c>
      <c r="G49" s="6" t="inlineStr">
        <is>
          <t>20F → 20D</t>
        </is>
      </c>
      <c r="H49" s="11" t="n">
        <v>46311.75</v>
      </c>
      <c r="I49" s="11" t="n">
        <v>46312.125</v>
      </c>
      <c r="J49" s="11" t="n">
        <v>46312.625</v>
      </c>
      <c r="K49" s="24">
        <f>(I49-H49)*24</f>
        <v/>
      </c>
      <c r="L49" s="24">
        <f>(J49-I49)*24</f>
        <v/>
      </c>
      <c r="M49" s="23" t="inlineStr">
        <is>
          <t>–</t>
        </is>
      </c>
      <c r="N49" s="23" t="inlineStr"/>
      <c r="O49" s="23" t="inlineStr">
        <is>
          <t>Sailed</t>
        </is>
      </c>
    </row>
    <row r="50">
      <c r="A50" s="4" t="inlineStr">
        <is>
          <t>20D</t>
        </is>
      </c>
      <c r="B50" s="4" t="inlineStr">
        <is>
          <t>INFINITY</t>
        </is>
      </c>
      <c r="C50" s="23" t="n">
        <v>565</v>
      </c>
      <c r="D50" s="10" t="n">
        <v>46293</v>
      </c>
      <c r="E50" s="10" t="n">
        <v>46313</v>
      </c>
      <c r="F50" s="23" t="n">
        <v>6</v>
      </c>
      <c r="G50" s="6" t="inlineStr">
        <is>
          <t>20AB → 20C → 20D</t>
        </is>
      </c>
      <c r="H50" s="11" t="n">
        <v>46313</v>
      </c>
      <c r="I50" s="11" t="n">
        <v>46313.29166666666</v>
      </c>
      <c r="J50" s="11" t="n">
        <v>46314.375</v>
      </c>
      <c r="K50" s="24">
        <f>(I50-H50)*24</f>
        <v/>
      </c>
      <c r="L50" s="24">
        <f>(J50-I50)*24</f>
        <v/>
      </c>
      <c r="M50" s="23" t="inlineStr">
        <is>
          <t>–</t>
        </is>
      </c>
      <c r="N50" s="23" t="inlineStr"/>
      <c r="O50" s="23">
        <f>IF(J50&lt;=$B$3,"Sailed",IF(I50&lt;=$B$3,"Alongside",IF(H50&lt;=$B$3,"At anchorage","Expected")))</f>
        <v/>
      </c>
    </row>
    <row r="51">
      <c r="A51" s="25" t="inlineStr">
        <is>
          <t>20E</t>
        </is>
      </c>
      <c r="B51" s="25" t="inlineStr">
        <is>
          <t>WAN HAI 278</t>
        </is>
      </c>
      <c r="C51" s="26" t="n">
        <v>564</v>
      </c>
      <c r="D51" s="27" t="n">
        <v>46295</v>
      </c>
      <c r="E51" s="27" t="n">
        <v>46300</v>
      </c>
      <c r="F51" s="26" t="n">
        <v>6</v>
      </c>
      <c r="G51" s="33" t="inlineStr">
        <is>
          <t>20F → 20E</t>
        </is>
      </c>
      <c r="H51" s="29" t="n">
        <v>46297.75</v>
      </c>
      <c r="I51" s="29" t="n">
        <v>46298.41666666666</v>
      </c>
      <c r="J51" s="29" t="n">
        <v>46300.45833333334</v>
      </c>
      <c r="K51" s="30">
        <f>(I51-H51)*24</f>
        <v/>
      </c>
      <c r="L51" s="30">
        <f>(J51-I51)*24</f>
        <v/>
      </c>
      <c r="M51" s="26" t="inlineStr">
        <is>
          <t>–</t>
        </is>
      </c>
      <c r="N51" s="26" t="inlineStr"/>
      <c r="O51" s="26" t="inlineStr">
        <is>
          <t>Sailed</t>
        </is>
      </c>
    </row>
    <row r="52">
      <c r="A52" s="25" t="inlineStr">
        <is>
          <t>20F</t>
        </is>
      </c>
      <c r="B52" s="25" t="inlineStr">
        <is>
          <t>HOPE C</t>
        </is>
      </c>
      <c r="C52" s="26" t="n">
        <v>481</v>
      </c>
      <c r="D52" s="27" t="n">
        <v>46293</v>
      </c>
      <c r="E52" s="27" t="n">
        <v>46295</v>
      </c>
      <c r="F52" s="26" t="n">
        <v>3</v>
      </c>
      <c r="G52" s="33" t="inlineStr">
        <is>
          <t>20E → 20F</t>
        </is>
      </c>
      <c r="H52" s="29" t="n">
        <v>46294.70833333334</v>
      </c>
      <c r="I52" s="29" t="n">
        <v>46294.70833333334</v>
      </c>
      <c r="J52" s="29" t="n">
        <v>46295.66666666666</v>
      </c>
      <c r="K52" s="30">
        <f>(I52-H52)*24</f>
        <v/>
      </c>
      <c r="L52" s="30">
        <f>(J52-I52)*24</f>
        <v/>
      </c>
      <c r="M52" s="26" t="inlineStr">
        <is>
          <t>–</t>
        </is>
      </c>
      <c r="N52" s="26" t="inlineStr"/>
      <c r="O52" s="26" t="inlineStr">
        <is>
          <t>Sailed</t>
        </is>
      </c>
    </row>
    <row r="53">
      <c r="A53" s="4" t="inlineStr">
        <is>
          <t>20F</t>
        </is>
      </c>
      <c r="B53" s="4" t="inlineStr">
        <is>
          <t>KMTC BANGKOK</t>
        </is>
      </c>
      <c r="C53" s="23" t="n">
        <v>564</v>
      </c>
      <c r="D53" s="10" t="n">
        <v>46295</v>
      </c>
      <c r="E53" s="10" t="n">
        <v>46298</v>
      </c>
      <c r="F53" s="23" t="n">
        <v>4</v>
      </c>
      <c r="G53" s="6" t="inlineStr">
        <is>
          <t>20AB → 20F</t>
        </is>
      </c>
      <c r="H53" s="11" t="n">
        <v>46297.29166666666</v>
      </c>
      <c r="I53" s="11" t="n">
        <v>46297.45833333334</v>
      </c>
      <c r="J53" s="11" t="n">
        <v>46298.70833333334</v>
      </c>
      <c r="K53" s="24">
        <f>(I53-H53)*24</f>
        <v/>
      </c>
      <c r="L53" s="24">
        <f>(J53-I53)*24</f>
        <v/>
      </c>
      <c r="M53" s="23" t="inlineStr">
        <is>
          <t>–</t>
        </is>
      </c>
      <c r="N53" s="23" t="inlineStr"/>
      <c r="O53" s="23" t="inlineStr">
        <is>
          <t>Sailed</t>
        </is>
      </c>
    </row>
    <row r="54">
      <c r="A54" s="4" t="inlineStr">
        <is>
          <t>20F</t>
        </is>
      </c>
      <c r="B54" s="4" t="inlineStr">
        <is>
          <t>XIN MING ZHOU 98</t>
        </is>
      </c>
      <c r="C54" s="23" t="n">
        <v>564</v>
      </c>
      <c r="D54" s="10" t="n">
        <v>46297</v>
      </c>
      <c r="E54" s="10" t="n">
        <v>46299</v>
      </c>
      <c r="F54" s="23" t="n">
        <v>3</v>
      </c>
      <c r="G54" s="5" t="inlineStr">
        <is>
          <t>20F</t>
        </is>
      </c>
      <c r="H54" s="11" t="n">
        <v>46299.375</v>
      </c>
      <c r="I54" s="11" t="n">
        <v>46299.375</v>
      </c>
      <c r="J54" s="11" t="n">
        <v>46300.375</v>
      </c>
      <c r="K54" s="24">
        <f>(I54-H54)*24</f>
        <v/>
      </c>
      <c r="L54" s="24">
        <f>(J54-I54)*24</f>
        <v/>
      </c>
      <c r="M54" s="23" t="inlineStr">
        <is>
          <t>–</t>
        </is>
      </c>
      <c r="N54" s="23" t="inlineStr"/>
      <c r="O54" s="23" t="inlineStr">
        <is>
          <t>Sailed</t>
        </is>
      </c>
    </row>
    <row r="55">
      <c r="A55" s="4" t="inlineStr">
        <is>
          <t>20F</t>
        </is>
      </c>
      <c r="B55" s="4" t="inlineStr">
        <is>
          <t>XIN AN</t>
        </is>
      </c>
      <c r="C55" s="23" t="n">
        <v>564</v>
      </c>
      <c r="D55" s="10" t="n">
        <v>46300</v>
      </c>
      <c r="E55" s="10" t="n">
        <v>46304</v>
      </c>
      <c r="F55" s="23" t="n">
        <v>5</v>
      </c>
      <c r="G55" s="5" t="inlineStr">
        <is>
          <t>20F</t>
        </is>
      </c>
      <c r="H55" s="11" t="n">
        <v>46302.54166666666</v>
      </c>
      <c r="I55" s="11" t="n">
        <v>46302.58333333334</v>
      </c>
      <c r="J55" s="11" t="n">
        <v>46304.54166666666</v>
      </c>
      <c r="K55" s="24">
        <f>(I55-H55)*24</f>
        <v/>
      </c>
      <c r="L55" s="24">
        <f>(J55-I55)*24</f>
        <v/>
      </c>
      <c r="M55" s="23" t="inlineStr">
        <is>
          <t>–</t>
        </is>
      </c>
      <c r="N55" s="23" t="inlineStr"/>
      <c r="O55" s="23" t="inlineStr">
        <is>
          <t>Sailed</t>
        </is>
      </c>
    </row>
    <row r="56">
      <c r="A56" s="4" t="inlineStr">
        <is>
          <t>20F</t>
        </is>
      </c>
      <c r="B56" s="4" t="inlineStr">
        <is>
          <t>SAWASDEE ATLANTIC</t>
        </is>
      </c>
      <c r="C56" s="23" t="n">
        <v>564</v>
      </c>
      <c r="D56" s="10" t="n">
        <v>46300</v>
      </c>
      <c r="E56" s="10" t="n">
        <v>46306</v>
      </c>
      <c r="F56" s="23" t="n">
        <v>7</v>
      </c>
      <c r="G56" s="6" t="inlineStr">
        <is>
          <t>20C → 20D → 20F</t>
        </is>
      </c>
      <c r="H56" s="11" t="n">
        <v>46302.83333333334</v>
      </c>
      <c r="I56" s="11" t="n">
        <v>46304.625</v>
      </c>
      <c r="J56" s="11" t="n">
        <v>46306.5</v>
      </c>
      <c r="K56" s="24">
        <f>(I56-H56)*24</f>
        <v/>
      </c>
      <c r="L56" s="24">
        <f>(J56-I56)*24</f>
        <v/>
      </c>
      <c r="M56" s="23" t="inlineStr">
        <is>
          <t>–</t>
        </is>
      </c>
      <c r="N56" s="23" t="inlineStr"/>
      <c r="O56" s="23" t="inlineStr">
        <is>
          <t>Sailed</t>
        </is>
      </c>
    </row>
    <row r="57">
      <c r="A57" s="4" t="inlineStr">
        <is>
          <t>20F</t>
        </is>
      </c>
      <c r="B57" s="4" t="inlineStr">
        <is>
          <t>JOSCO SHINE</t>
        </is>
      </c>
      <c r="C57" s="23" t="n">
        <v>564</v>
      </c>
      <c r="D57" s="10" t="n">
        <v>46304</v>
      </c>
      <c r="E57" s="10" t="n">
        <v>46307</v>
      </c>
      <c r="F57" s="23" t="n">
        <v>4</v>
      </c>
      <c r="G57" s="6" t="inlineStr">
        <is>
          <t>20B → 20AB → 20F</t>
        </is>
      </c>
      <c r="H57" s="11" t="n">
        <v>46307.45833333334</v>
      </c>
      <c r="I57" s="11" t="n">
        <v>46307.625</v>
      </c>
      <c r="J57" s="11" t="n">
        <v>46308.25</v>
      </c>
      <c r="K57" s="24">
        <f>(I57-H57)*24</f>
        <v/>
      </c>
      <c r="L57" s="24">
        <f>(J57-I57)*24</f>
        <v/>
      </c>
      <c r="M57" s="23" t="inlineStr">
        <is>
          <t>–</t>
        </is>
      </c>
      <c r="N57" s="23" t="inlineStr"/>
      <c r="O57" s="23" t="inlineStr">
        <is>
          <t>Sailed</t>
        </is>
      </c>
    </row>
    <row r="58">
      <c r="A58" s="4" t="inlineStr">
        <is>
          <t>20F</t>
        </is>
      </c>
      <c r="B58" s="4" t="inlineStr">
        <is>
          <t>ALS SUMIRE</t>
        </is>
      </c>
      <c r="C58" s="23" t="n">
        <v>537</v>
      </c>
      <c r="D58" s="10" t="n">
        <v>46294</v>
      </c>
      <c r="E58" s="10" t="n">
        <v>46308</v>
      </c>
      <c r="F58" s="23" t="n">
        <v>9</v>
      </c>
      <c r="G58" s="6" t="inlineStr">
        <is>
          <t>20F → 20D → 20C → 20B → 20F</t>
        </is>
      </c>
      <c r="H58" s="11" t="n">
        <v>46307.91666666666</v>
      </c>
      <c r="I58" s="11" t="n">
        <v>46308.25</v>
      </c>
      <c r="J58" s="11" t="n">
        <v>46309.25</v>
      </c>
      <c r="K58" s="24">
        <f>(I58-H58)*24</f>
        <v/>
      </c>
      <c r="L58" s="24">
        <f>(J58-I58)*24</f>
        <v/>
      </c>
      <c r="M58" s="23" t="inlineStr">
        <is>
          <t>1C</t>
        </is>
      </c>
      <c r="N58" s="23" t="inlineStr"/>
      <c r="O58" s="23" t="inlineStr">
        <is>
          <t>Sailed</t>
        </is>
      </c>
    </row>
    <row r="59">
      <c r="A59" s="4" t="inlineStr">
        <is>
          <t>20F</t>
        </is>
      </c>
      <c r="B59" s="4" t="inlineStr">
        <is>
          <t>SAWASDEE INCHEON</t>
        </is>
      </c>
      <c r="C59" s="23" t="n">
        <v>564</v>
      </c>
      <c r="D59" s="10" t="n">
        <v>46307</v>
      </c>
      <c r="E59" s="10" t="n">
        <v>46310</v>
      </c>
      <c r="F59" s="23" t="n">
        <v>4</v>
      </c>
      <c r="G59" s="5" t="inlineStr">
        <is>
          <t>20F</t>
        </is>
      </c>
      <c r="H59" s="11" t="n">
        <v>46308.625</v>
      </c>
      <c r="I59" s="11" t="n">
        <v>46309.25</v>
      </c>
      <c r="J59" s="11" t="n">
        <v>46311.25</v>
      </c>
      <c r="K59" s="24">
        <f>(I59-H59)*24</f>
        <v/>
      </c>
      <c r="L59" s="24">
        <f>(J59-I59)*24</f>
        <v/>
      </c>
      <c r="M59" s="23" t="inlineStr">
        <is>
          <t>–</t>
        </is>
      </c>
      <c r="N59" s="23" t="inlineStr"/>
      <c r="O59" s="23" t="inlineStr">
        <is>
          <t>Sailed</t>
        </is>
      </c>
    </row>
    <row r="60">
      <c r="A60" s="4" t="inlineStr">
        <is>
          <t>20F</t>
        </is>
      </c>
      <c r="B60" s="4" t="inlineStr">
        <is>
          <t>INGENUITY</t>
        </is>
      </c>
      <c r="C60" s="23" t="n">
        <v>564</v>
      </c>
      <c r="D60" s="10" t="n">
        <v>46310</v>
      </c>
      <c r="E60" s="10" t="n">
        <v>46312</v>
      </c>
      <c r="F60" s="23" t="n">
        <v>3</v>
      </c>
      <c r="G60" s="5" t="inlineStr">
        <is>
          <t>20F</t>
        </is>
      </c>
      <c r="H60" s="11" t="n">
        <v>46311.95833333334</v>
      </c>
      <c r="I60" s="11" t="n">
        <v>46312.33333333334</v>
      </c>
      <c r="J60" s="11" t="n">
        <v>46313.29166666666</v>
      </c>
      <c r="K60" s="24">
        <f>(I60-H60)*24</f>
        <v/>
      </c>
      <c r="L60" s="24">
        <f>(J60-I60)*24</f>
        <v/>
      </c>
      <c r="M60" s="23" t="inlineStr">
        <is>
          <t>–</t>
        </is>
      </c>
      <c r="N60" s="23" t="inlineStr"/>
      <c r="O60" s="23" t="inlineStr">
        <is>
          <t>Sailed</t>
        </is>
      </c>
    </row>
    <row r="61">
      <c r="A61" s="4" t="inlineStr">
        <is>
          <t>20F</t>
        </is>
      </c>
      <c r="B61" s="4" t="inlineStr">
        <is>
          <t>XIN MING ZHOU 108</t>
        </is>
      </c>
      <c r="C61" s="23" t="n">
        <v>564</v>
      </c>
      <c r="D61" s="10" t="n">
        <v>46310</v>
      </c>
      <c r="E61" s="10" t="n">
        <v>46313</v>
      </c>
      <c r="F61" s="23" t="n">
        <v>4</v>
      </c>
      <c r="G61" s="6" t="inlineStr">
        <is>
          <t>20B → 20F</t>
        </is>
      </c>
      <c r="H61" s="11" t="n">
        <v>46312.41666666666</v>
      </c>
      <c r="I61" s="11" t="n">
        <v>46313.33333333334</v>
      </c>
      <c r="J61" s="11" t="n">
        <v>46314.29166666666</v>
      </c>
      <c r="K61" s="24">
        <f>(I61-H61)*24</f>
        <v/>
      </c>
      <c r="L61" s="24">
        <f>(J61-I61)*24</f>
        <v/>
      </c>
      <c r="M61" s="23" t="inlineStr">
        <is>
          <t>–</t>
        </is>
      </c>
      <c r="N61" s="23" t="inlineStr"/>
      <c r="O61" s="23">
        <f>IF(J61&lt;=$B$3,"Sailed",IF(I61&lt;=$B$3,"Alongside",IF(H61&lt;=$B$3,"At anchorage","Expected")))</f>
        <v/>
      </c>
    </row>
    <row r="62">
      <c r="A62" s="31" t="inlineStr">
        <is>
          <t>20F</t>
        </is>
      </c>
      <c r="B62" s="31" t="inlineStr">
        <is>
          <t>KMTC JAKARTA</t>
        </is>
      </c>
      <c r="C62" s="17" t="n">
        <v>564</v>
      </c>
      <c r="D62" s="18" t="n">
        <v>46310</v>
      </c>
      <c r="E62" s="18" t="n">
        <v>46313</v>
      </c>
      <c r="F62" s="17" t="n">
        <v>4</v>
      </c>
      <c r="G62" s="6" t="inlineStr">
        <is>
          <t>20F</t>
        </is>
      </c>
      <c r="H62" s="20" t="n">
        <v>46314.5</v>
      </c>
      <c r="I62" s="20" t="n">
        <v>46314.5</v>
      </c>
      <c r="J62" s="20" t="n">
        <v>46315.70833333334</v>
      </c>
      <c r="K62" s="32">
        <f>(I62-H62)*24</f>
        <v/>
      </c>
      <c r="L62" s="32">
        <f>(J62-I62)*24</f>
        <v/>
      </c>
      <c r="M62" s="17" t="inlineStr">
        <is>
          <t>–</t>
        </is>
      </c>
      <c r="N62" s="17" t="inlineStr">
        <is>
          <t>Yes</t>
        </is>
      </c>
      <c r="O62" s="17">
        <f>IF(J62&lt;=$B$3,"Sailed",IF(I62&lt;=$B$3,"Alongside",IF(H62&lt;=$B$3,"At anchorage","Expected")))</f>
        <v/>
      </c>
    </row>
    <row r="64">
      <c r="A64" s="2" t="inlineStr">
        <is>
          <t>57 vessels in total. Orange cells: marked on sheet, or the vessel changed berth.</t>
        </is>
      </c>
    </row>
  </sheetData>
  <autoFilter ref="A5:O62"/>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32">
        <f>(E13-D13)*24</f>
        <v/>
      </c>
      <c r="H13" s="32">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32">
        <f>(E8-D8)*24</f>
        <v/>
      </c>
      <c r="H8" s="32">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32">
        <f>(E6-D6)*24</f>
        <v/>
      </c>
      <c r="H6" s="32">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32">
        <f>(E7-D7)*24</f>
        <v/>
      </c>
      <c r="H7" s="32">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32">
        <f>(E11-D11)*24</f>
        <v/>
      </c>
      <c r="H11" s="32">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32">
        <f>(E5-D5)*24</f>
        <v/>
      </c>
      <c r="H5" s="32">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32">
        <f>(E6-D6)*24</f>
        <v/>
      </c>
      <c r="H6" s="32">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32">
        <f>(E12-D12)*24</f>
        <v/>
      </c>
      <c r="H12" s="32">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32">
        <f>(E14-D14)*24</f>
        <v/>
      </c>
      <c r="H14" s="32">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32">
        <f>(E9-D9)*24</f>
        <v/>
      </c>
      <c r="H9" s="32">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32">
        <f>(E10-D10)*24</f>
        <v/>
      </c>
      <c r="H10" s="32">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32">
        <f>(E11-D11)*24</f>
        <v/>
      </c>
      <c r="H11" s="32">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32">
        <f>(E12-D12)*24</f>
        <v/>
      </c>
      <c r="H12" s="32">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32">
        <f>(E19-D19)*24</f>
        <v/>
      </c>
      <c r="H19" s="32">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32">
        <f>(E20-D20)*24</f>
        <v/>
      </c>
      <c r="H20" s="32">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32">
        <f>(E6-D6)*24</f>
        <v/>
      </c>
      <c r="H6" s="32">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32">
        <f>(E8-D8)*24</f>
        <v/>
      </c>
      <c r="H8" s="32">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32">
        <f>(E13-D13)*24</f>
        <v/>
      </c>
      <c r="H13" s="32">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32">
        <f>(E15-D15)*24</f>
        <v/>
      </c>
      <c r="H15" s="32">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32">
        <f>(E11-D11)*24</f>
        <v/>
      </c>
      <c r="H11" s="32">
        <f>(F11-E11)*24</f>
        <v/>
      </c>
      <c r="I11" s="17" t="inlineStr">
        <is>
          <t>–</t>
        </is>
      </c>
      <c r="J11" s="17" t="inlineStr">
        <is>
          <t>Yes</t>
        </is>
      </c>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20D</t>
        </is>
      </c>
      <c r="B16" s="16" t="inlineStr">
        <is>
          <t>Berth closed</t>
        </is>
      </c>
      <c r="C16" s="38" t="n"/>
      <c r="D16" s="18" t="n">
        <v>46314</v>
      </c>
      <c r="E16" s="17" t="inlineStr">
        <is>
          <t>–</t>
        </is>
      </c>
      <c r="F16" s="16" t="inlineStr">
        <is>
          <t>20D CLOSE from Oct 19 2026 (end date not printed on the sheet)  —  New</t>
        </is>
      </c>
      <c r="G16" s="38" t="n"/>
      <c r="H16" s="38" t="n"/>
      <c r="I16" s="38" t="n"/>
      <c r="J16" s="38" t="n"/>
    </row>
    <row r="17" ht="42" customHeight="1">
      <c r="A17" s="16" t="inlineStr">
        <is>
          <t>20E</t>
        </is>
      </c>
      <c r="B17" s="16" t="inlineStr">
        <is>
          <t>Berth closed</t>
        </is>
      </c>
      <c r="C17" s="38" t="n"/>
      <c r="D17" s="17" t="inlineStr">
        <is>
          <t>–</t>
        </is>
      </c>
      <c r="E17" s="17" t="inlineStr">
        <is>
          <t>–</t>
        </is>
      </c>
      <c r="F17" s="16" t="inlineStr">
        <is>
          <t>(no notice – the CLOSE (Oct 5–20 2026) line under 20E is gone)  —  Dropped from sheet: 20E closure no longer printed</t>
        </is>
      </c>
      <c r="G17" s="38" t="n"/>
      <c r="H17" s="38" t="n"/>
      <c r="I17" s="38" t="n"/>
      <c r="J17" s="38" t="n"/>
    </row>
  </sheetData>
  <mergeCells count="3">
    <mergeCell ref="F17:J17"/>
    <mergeCell ref="F15:J15"/>
    <mergeCell ref="F16:J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2026-10-18T07:23:16Z</dcterms:created>
  <dcterms:modified xmlns:dcterms="http://purl.org/dc/terms/" xmlns:xsi="http://www.w3.org/2001/XMLSchema-instance" xsi:type="dcterms:W3CDTF">2026-10-18T07:23:17Z</dcterms:modified>
</cp:coreProperties>
</file>