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essel Continuity" sheetId="1" state="visible" r:id="rId1"/>
    <sheet xmlns:r="http://schemas.openxmlformats.org/officeDocument/2006/relationships" name="Berth Notices" sheetId="2" state="visible" r:id="rId2"/>
    <sheet xmlns:r="http://schemas.openxmlformats.org/officeDocument/2006/relationships" name="Vessel List by Berth" sheetId="3" state="visible" r:id="rId3"/>
    <sheet xmlns:r="http://schemas.openxmlformats.org/officeDocument/2006/relationships" name="28 Sep 2026" sheetId="4" state="visible" r:id="rId4"/>
    <sheet xmlns:r="http://schemas.openxmlformats.org/officeDocument/2006/relationships" name="29 Sep 2026" sheetId="5" state="visible" r:id="rId5"/>
    <sheet xmlns:r="http://schemas.openxmlformats.org/officeDocument/2006/relationships" name="30 Sep 2026" sheetId="6" state="visible" r:id="rId6"/>
    <sheet xmlns:r="http://schemas.openxmlformats.org/officeDocument/2006/relationships" name="01 Oct 2026" sheetId="7" state="visible" r:id="rId7"/>
    <sheet xmlns:r="http://schemas.openxmlformats.org/officeDocument/2006/relationships" name="02 Oct 2026" sheetId="8" state="visible" r:id="rId8"/>
    <sheet xmlns:r="http://schemas.openxmlformats.org/officeDocument/2006/relationships" name="03 Oct 2026" sheetId="9" state="visible" r:id="rId9"/>
    <sheet xmlns:r="http://schemas.openxmlformats.org/officeDocument/2006/relationships" name="04 Oct 2026" sheetId="10" state="visible" r:id="rId10"/>
    <sheet xmlns:r="http://schemas.openxmlformats.org/officeDocument/2006/relationships" name="05 Oct 2026" sheetId="11" state="visible" r:id="rId11"/>
    <sheet xmlns:r="http://schemas.openxmlformats.org/officeDocument/2006/relationships" name="06 Oct 2026" sheetId="12" state="visible" r:id="rId12"/>
    <sheet xmlns:r="http://schemas.openxmlformats.org/officeDocument/2006/relationships" name="07 Oct 2026" sheetId="13" state="visible" r:id="rId13"/>
    <sheet xmlns:r="http://schemas.openxmlformats.org/officeDocument/2006/relationships" name="08 Oct 2026" sheetId="14" state="visible" r:id="rId14"/>
    <sheet xmlns:r="http://schemas.openxmlformats.org/officeDocument/2006/relationships" name="09 Oct 2026" sheetId="15" state="visible" r:id="rId15"/>
    <sheet xmlns:r="http://schemas.openxmlformats.org/officeDocument/2006/relationships" name="10 Oct 2026" sheetId="16" state="visible" r:id="rId16"/>
    <sheet xmlns:r="http://schemas.openxmlformats.org/officeDocument/2006/relationships" name="11 Oct 2026" sheetId="17" state="visible" r:id="rId17"/>
    <sheet xmlns:r="http://schemas.openxmlformats.org/officeDocument/2006/relationships" name="12 Oct 2026" sheetId="18" state="visible" r:id="rId18"/>
    <sheet xmlns:r="http://schemas.openxmlformats.org/officeDocument/2006/relationships" name="13 Oct 2026" sheetId="19" state="visible" r:id="rId19"/>
    <sheet xmlns:r="http://schemas.openxmlformats.org/officeDocument/2006/relationships" name="14 Oct 2026" sheetId="20" state="visible" r:id="rId20"/>
    <sheet xmlns:r="http://schemas.openxmlformats.org/officeDocument/2006/relationships" name="15 Oct 2026" sheetId="21" state="visible" r:id="rId21"/>
    <sheet xmlns:r="http://schemas.openxmlformats.org/officeDocument/2006/relationships" name="16 Oct 2026" sheetId="22" state="visible" r:id="rId22"/>
    <sheet xmlns:r="http://schemas.openxmlformats.org/officeDocument/2006/relationships" name="17 Oct 2026" sheetId="23" state="visible" r:id="rId23"/>
    <sheet xmlns:r="http://schemas.openxmlformats.org/officeDocument/2006/relationships" name="18 Oct 2026" sheetId="24" state="visible" r:id="rId24"/>
    <sheet xmlns:r="http://schemas.openxmlformats.org/officeDocument/2006/relationships" name="19 Oct 2026" sheetId="25" state="visible" r:id="rId25"/>
    <sheet xmlns:r="http://schemas.openxmlformats.org/officeDocument/2006/relationships" name="20 Oct 2026" sheetId="26" state="visible" r:id="rId26"/>
    <sheet xmlns:r="http://schemas.openxmlformats.org/officeDocument/2006/relationships" name="21 Oct 2026" sheetId="27" state="visible" r:id="rId27"/>
  </sheets>
  <definedNames>
    <definedName name="_xlnm._FilterDatabase" localSheetId="1" hidden="1">'Berth Notices'!$A$4:$G$57</definedName>
    <definedName name="_xlnm._FilterDatabase" localSheetId="2" hidden="1">'Vessel List by Berth'!$A$5:$O$67</definedName>
  </definedNames>
  <calcPr calcId="124519" fullCalcOnLoad="1"/>
</workbook>
</file>

<file path=xl/styles.xml><?xml version="1.0" encoding="utf-8"?>
<styleSheet xmlns="http://schemas.openxmlformats.org/spreadsheetml/2006/main">
  <numFmts count="5">
    <numFmt numFmtId="164" formatCode="yyyy-mm-dd h:mm:ss"/>
    <numFmt numFmtId="165" formatCode="[$-409]dd-mmm-yyyy"/>
    <numFmt numFmtId="166" formatCode="[$-409]dd-mmm hh:mm"/>
    <numFmt numFmtId="167" formatCode="0.0"/>
    <numFmt numFmtId="168" formatCode="[$-409]dd-mmm-yyyy hh:mm"/>
  </numFmts>
  <fonts count="9">
    <font>
      <name val="Calibri"/>
      <family val="2"/>
      <color theme="1"/>
      <sz val="11"/>
      <scheme val="minor"/>
    </font>
    <font>
      <name val="Arial"/>
      <b val="1"/>
      <color rgb="0016324F"/>
      <sz val="14"/>
    </font>
    <font>
      <name val="Arial"/>
      <i val="1"/>
      <color rgb="004F6479"/>
      <sz val="10"/>
    </font>
    <font>
      <name val="Arial"/>
      <b val="1"/>
      <color rgb="00FFFFFF"/>
      <sz val="11"/>
    </font>
    <font>
      <name val="Arial"/>
      <b val="1"/>
      <sz val="10"/>
    </font>
    <font>
      <name val="Arial"/>
      <sz val="10"/>
    </font>
    <font>
      <name val="Arial"/>
      <b val="1"/>
      <color rgb="0016324F"/>
      <sz val="12"/>
    </font>
    <font>
      <name val="Arial"/>
      <i val="1"/>
      <sz val="10"/>
    </font>
    <font>
      <name val="Arial"/>
      <color rgb="000000FF"/>
      <sz val="10"/>
    </font>
  </fonts>
  <fills count="4">
    <fill>
      <patternFill/>
    </fill>
    <fill>
      <patternFill patternType="gray125"/>
    </fill>
    <fill>
      <patternFill patternType="solid">
        <fgColor rgb="0016324F"/>
      </patternFill>
    </fill>
    <fill>
      <patternFill patternType="solid">
        <fgColor rgb="00FFF1E2"/>
      </patternFill>
    </fill>
  </fills>
  <borders count="7">
    <border>
      <left/>
      <right/>
      <top/>
      <bottom/>
      <diagonal/>
    </border>
    <border>
      <left style="thin">
        <color rgb="00D9D9D9"/>
      </left>
      <right style="thin">
        <color rgb="00D9D9D9"/>
      </right>
      <top style="thin">
        <color rgb="00D9D9D9"/>
      </top>
      <bottom style="thin">
        <color rgb="00D9D9D9"/>
      </bottom>
    </border>
    <border>
      <left style="thin">
        <color rgb="00D9D9D9"/>
      </left>
      <right style="thin">
        <color rgb="00D9D9D9"/>
      </right>
      <top style="medium">
        <color rgb="0016324F"/>
      </top>
      <bottom style="thin">
        <color rgb="00D9D9D9"/>
      </bottom>
    </border>
    <border>
      <left/>
      <right/>
      <top style="thin">
        <color rgb="00D9D9D9"/>
      </top>
      <bottom/>
      <diagonal/>
    </border>
    <border>
      <left/>
      <right style="thin">
        <color rgb="00D9D9D9"/>
      </right>
      <top style="thin">
        <color rgb="00D9D9D9"/>
      </top>
      <bottom/>
      <diagonal/>
    </border>
    <border>
      <left/>
      <right/>
      <top style="thin">
        <color rgb="00D9D9D9"/>
      </top>
      <bottom style="thin">
        <color rgb="00D9D9D9"/>
      </bottom>
      <diagonal/>
    </border>
    <border>
      <left/>
      <right style="thin">
        <color rgb="00D9D9D9"/>
      </right>
      <top style="thin">
        <color rgb="00D9D9D9"/>
      </top>
      <bottom style="thin">
        <color rgb="00D9D9D9"/>
      </bottom>
      <diagonal/>
    </border>
  </borders>
  <cellStyleXfs count="1">
    <xf numFmtId="0" fontId="0" fillId="0" borderId="0"/>
  </cellStyleXfs>
  <cellXfs count="40">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xf>
    <xf numFmtId="0" fontId="4" fillId="0" borderId="1" applyAlignment="1" pivotButton="0" quotePrefix="0" xfId="0">
      <alignment horizontal="left" vertical="center"/>
    </xf>
    <xf numFmtId="0" fontId="5" fillId="0" borderId="1" applyAlignment="1" pivotButton="0" quotePrefix="0" xfId="0">
      <alignment horizontal="left" vertical="center"/>
    </xf>
    <xf numFmtId="0" fontId="5" fillId="3" borderId="1" applyAlignment="1" pivotButton="0" quotePrefix="0" xfId="0">
      <alignment horizontal="left" vertical="center"/>
    </xf>
    <xf numFmtId="0" fontId="2" fillId="0" borderId="0" applyAlignment="1" pivotButton="0" quotePrefix="0" xfId="0">
      <alignment vertical="top" wrapText="1"/>
    </xf>
    <xf numFmtId="165" fontId="4" fillId="0" borderId="1" applyAlignment="1" pivotButton="0" quotePrefix="0" xfId="0">
      <alignment horizontal="center" vertical="center"/>
    </xf>
    <xf numFmtId="0" fontId="5" fillId="0" borderId="1" applyAlignment="1" pivotButton="0" quotePrefix="0" xfId="0">
      <alignment horizontal="left" vertical="center" wrapText="1"/>
    </xf>
    <xf numFmtId="165" fontId="5" fillId="0" borderId="1" applyAlignment="1" pivotButton="0" quotePrefix="0" xfId="0">
      <alignment horizontal="center" vertical="center"/>
    </xf>
    <xf numFmtId="166" fontId="5" fillId="0" borderId="1" applyAlignment="1" pivotButton="0" quotePrefix="0" xfId="0">
      <alignment horizontal="center" vertical="center"/>
    </xf>
    <xf numFmtId="165" fontId="4" fillId="3" borderId="2" applyAlignment="1" pivotButton="0" quotePrefix="0" xfId="0">
      <alignment horizontal="center" vertical="center"/>
    </xf>
    <xf numFmtId="0" fontId="5" fillId="3" borderId="2" applyAlignment="1" pivotButton="0" quotePrefix="0" xfId="0">
      <alignment horizontal="left" vertical="center" wrapText="1"/>
    </xf>
    <xf numFmtId="165" fontId="5" fillId="3" borderId="2" applyAlignment="1" pivotButton="0" quotePrefix="0" xfId="0">
      <alignment horizontal="center" vertical="center"/>
    </xf>
    <xf numFmtId="165" fontId="4" fillId="3" borderId="1" applyAlignment="1" pivotButton="0" quotePrefix="0" xfId="0">
      <alignment horizontal="center" vertical="center"/>
    </xf>
    <xf numFmtId="0" fontId="5" fillId="3" borderId="1" applyAlignment="1" pivotButton="0" quotePrefix="0" xfId="0">
      <alignment horizontal="left" vertical="center" wrapText="1"/>
    </xf>
    <xf numFmtId="0" fontId="5" fillId="3" borderId="1" applyAlignment="1" pivotButton="0" quotePrefix="0" xfId="0">
      <alignment horizontal="center" vertical="center"/>
    </xf>
    <xf numFmtId="165" fontId="5" fillId="3" borderId="1" applyAlignment="1" pivotButton="0" quotePrefix="0" xfId="0">
      <alignment horizontal="center" vertical="center"/>
    </xf>
    <xf numFmtId="0" fontId="5" fillId="3" borderId="2" applyAlignment="1" pivotButton="0" quotePrefix="0" xfId="0">
      <alignment horizontal="center" vertical="center"/>
    </xf>
    <xf numFmtId="166" fontId="5" fillId="3" borderId="1" applyAlignment="1" pivotButton="0" quotePrefix="0" xfId="0">
      <alignment horizontal="center" vertical="center"/>
    </xf>
    <xf numFmtId="0" fontId="4" fillId="0" borderId="0" pivotButton="0" quotePrefix="0" xfId="0"/>
    <xf numFmtId="168" fontId="8" fillId="0" borderId="0" applyAlignment="1" pivotButton="0" quotePrefix="0" xfId="0">
      <alignment horizontal="center" vertical="center"/>
    </xf>
    <xf numFmtId="0" fontId="5" fillId="0" borderId="1" applyAlignment="1" pivotButton="0" quotePrefix="0" xfId="0">
      <alignment horizontal="center" vertical="center"/>
    </xf>
    <xf numFmtId="167" fontId="5" fillId="0" borderId="1" applyAlignment="1" pivotButton="0" quotePrefix="0" xfId="0">
      <alignment horizontal="center" vertical="center"/>
    </xf>
    <xf numFmtId="0" fontId="4" fillId="3" borderId="1" applyAlignment="1" pivotButton="0" quotePrefix="0" xfId="0">
      <alignment horizontal="left" vertical="center"/>
    </xf>
    <xf numFmtId="167" fontId="5" fillId="3" borderId="1" applyAlignment="1" pivotButton="0" quotePrefix="0" xfId="0">
      <alignment horizontal="center" vertical="center"/>
    </xf>
    <xf numFmtId="0" fontId="4" fillId="0" borderId="2" applyAlignment="1" pivotButton="0" quotePrefix="0" xfId="0">
      <alignment horizontal="left" vertical="center"/>
    </xf>
    <xf numFmtId="0" fontId="5" fillId="0" borderId="2" applyAlignment="1" pivotButton="0" quotePrefix="0" xfId="0">
      <alignment horizontal="center" vertical="center"/>
    </xf>
    <xf numFmtId="165" fontId="5" fillId="0" borderId="2" applyAlignment="1" pivotButton="0" quotePrefix="0" xfId="0">
      <alignment horizontal="center" vertical="center"/>
    </xf>
    <xf numFmtId="0" fontId="5" fillId="3" borderId="2" applyAlignment="1" pivotButton="0" quotePrefix="0" xfId="0">
      <alignment horizontal="left" vertical="center"/>
    </xf>
    <xf numFmtId="166" fontId="5" fillId="0" borderId="2" applyAlignment="1" pivotButton="0" quotePrefix="0" xfId="0">
      <alignment horizontal="center" vertical="center"/>
    </xf>
    <xf numFmtId="167" fontId="5" fillId="0" borderId="2" applyAlignment="1" pivotButton="0" quotePrefix="0" xfId="0">
      <alignment horizontal="center" vertical="center"/>
    </xf>
    <xf numFmtId="0" fontId="5" fillId="0" borderId="2" applyAlignment="1" pivotButton="0" quotePrefix="0" xfId="0">
      <alignment horizontal="left" vertical="center"/>
    </xf>
    <xf numFmtId="0" fontId="6" fillId="0" borderId="0" pivotButton="0" quotePrefix="0" xfId="0"/>
    <xf numFmtId="0" fontId="0" fillId="0" borderId="5" pivotButton="0" quotePrefix="0" xfId="0"/>
    <xf numFmtId="0" fontId="0" fillId="0" borderId="6" pivotButton="0" quotePrefix="0" xfId="0"/>
    <xf numFmtId="0" fontId="5" fillId="0" borderId="1" pivotButton="0" quotePrefix="0" xfId="0"/>
    <xf numFmtId="0" fontId="5" fillId="3" borderId="1"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styles" Target="styles.xml" Id="rId28"/><Relationship Type="http://schemas.openxmlformats.org/officeDocument/2006/relationships/theme" Target="theme/theme1.xml" Id="rId2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68"/>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20" customWidth="1" min="1" max="1"/>
    <col width="26" customWidth="1" min="2" max="2"/>
    <col width="30" customWidth="1" min="3" max="3"/>
    <col width="32" customWidth="1" min="4" max="4"/>
    <col width="36" customWidth="1" min="5" max="5"/>
    <col width="36" customWidth="1" min="6" max="6"/>
    <col width="40" customWidth="1" min="7" max="7"/>
    <col width="40" customWidth="1" min="8" max="8"/>
    <col width="42" customWidth="1" min="9" max="9"/>
    <col width="44" customWidth="1" min="10" max="10"/>
    <col width="44" customWidth="1" min="11" max="11"/>
    <col width="44" customWidth="1" min="12" max="12"/>
    <col width="44" customWidth="1" min="13" max="13"/>
    <col width="44" customWidth="1" min="14" max="14"/>
    <col width="44" customWidth="1" min="15" max="15"/>
    <col width="44" customWidth="1" min="16" max="16"/>
    <col width="44" customWidth="1" min="17" max="17"/>
    <col width="44" customWidth="1" min="18" max="18"/>
    <col width="44" customWidth="1" min="19" max="19"/>
    <col width="44" customWidth="1" min="20" max="20"/>
    <col width="44" customWidth="1" min="21" max="21"/>
    <col width="44" customWidth="1" min="22" max="22"/>
    <col width="44" customWidth="1" min="23" max="23"/>
    <col width="44" customWidth="1" min="24" max="24"/>
    <col width="44" customWidth="1" min="25" max="25"/>
  </cols>
  <sheetData>
    <row r="1">
      <c r="A1" s="1" t="inlineStr">
        <is>
          <t>PAT Berth Window — Vessel Continuity Across Sheets</t>
        </is>
      </c>
    </row>
    <row r="2">
      <c r="A2" s="2" t="inlineStr">
        <is>
          <t>Port Authority of Thailand · Bangkok Port (THBKK). ‘→ 20X’ = berth reassigned from previous sheet.</t>
        </is>
      </c>
    </row>
    <row r="4">
      <c r="A4" s="3" t="inlineStr">
        <is>
          <t>Vessel</t>
        </is>
      </c>
      <c r="B4" s="3" t="inlineStr">
        <is>
          <t>28 Sep 2026</t>
        </is>
      </c>
      <c r="C4" s="3" t="inlineStr">
        <is>
          <t>29 Sep 2026</t>
        </is>
      </c>
      <c r="D4" s="3" t="inlineStr">
        <is>
          <t>30 Sep 2026</t>
        </is>
      </c>
      <c r="E4" s="3" t="inlineStr">
        <is>
          <t>01 Oct 2026</t>
        </is>
      </c>
      <c r="F4" s="3" t="inlineStr">
        <is>
          <t>02 Oct 2026</t>
        </is>
      </c>
      <c r="G4" s="3" t="inlineStr">
        <is>
          <t>03 Oct 2026</t>
        </is>
      </c>
      <c r="H4" s="3" t="inlineStr">
        <is>
          <t>04 Oct 2026</t>
        </is>
      </c>
      <c r="I4" s="3" t="inlineStr">
        <is>
          <t>05 Oct 2026</t>
        </is>
      </c>
      <c r="J4" s="3" t="inlineStr">
        <is>
          <t>06 Oct 2026</t>
        </is>
      </c>
      <c r="K4" s="3" t="inlineStr">
        <is>
          <t>07 Oct 2026</t>
        </is>
      </c>
      <c r="L4" s="3" t="inlineStr">
        <is>
          <t>08 Oct 2026</t>
        </is>
      </c>
      <c r="M4" s="3" t="inlineStr">
        <is>
          <t>09 Oct 2026</t>
        </is>
      </c>
      <c r="N4" s="3" t="inlineStr">
        <is>
          <t>10 Oct 2026</t>
        </is>
      </c>
      <c r="O4" s="3" t="inlineStr">
        <is>
          <t>11 Oct 2026</t>
        </is>
      </c>
      <c r="P4" s="3" t="inlineStr">
        <is>
          <t>12 Oct 2026</t>
        </is>
      </c>
      <c r="Q4" s="3" t="inlineStr">
        <is>
          <t>13 Oct 2026</t>
        </is>
      </c>
      <c r="R4" s="3" t="inlineStr">
        <is>
          <t>14 Oct 2026</t>
        </is>
      </c>
      <c r="S4" s="3" t="inlineStr">
        <is>
          <t>15 Oct 2026</t>
        </is>
      </c>
      <c r="T4" s="3" t="inlineStr">
        <is>
          <t>16 Oct 2026</t>
        </is>
      </c>
      <c r="U4" s="3" t="inlineStr">
        <is>
          <t>17 Oct 2026</t>
        </is>
      </c>
      <c r="V4" s="3" t="inlineStr">
        <is>
          <t>18 Oct 2026</t>
        </is>
      </c>
      <c r="W4" s="3" t="inlineStr">
        <is>
          <t>19 Oct 2026</t>
        </is>
      </c>
      <c r="X4" s="3" t="inlineStr">
        <is>
          <t>20 Oct 2026</t>
        </is>
      </c>
      <c r="Y4" s="3" t="inlineStr">
        <is>
          <t>21 Oct 2026</t>
        </is>
      </c>
    </row>
    <row r="5">
      <c r="A5" s="4" t="inlineStr">
        <is>
          <t>INFINITY</t>
        </is>
      </c>
      <c r="B5" s="5" t="inlineStr">
        <is>
          <t>alongside · 20AB</t>
        </is>
      </c>
      <c r="C5" s="5" t="inlineStr">
        <is>
          <t>alongside · 20AB (ETD 29/15)</t>
        </is>
      </c>
      <c r="D5" s="5" t="inlineStr">
        <is>
          <t>sailed</t>
        </is>
      </c>
      <c r="E5" s="5" t="inlineStr"/>
      <c r="F5" s="5" t="inlineStr"/>
      <c r="G5" s="5" t="inlineStr"/>
      <c r="H5" s="5" t="inlineStr"/>
      <c r="I5" s="5" t="inlineStr"/>
      <c r="J5" s="5" t="inlineStr"/>
      <c r="K5" s="5" t="inlineStr"/>
      <c r="L5" s="5" t="inlineStr"/>
      <c r="M5" s="5" t="inlineStr"/>
      <c r="N5" s="5" t="inlineStr"/>
      <c r="O5" s="5" t="inlineStr"/>
      <c r="P5" s="5" t="inlineStr"/>
      <c r="Q5" s="5" t="inlineStr"/>
      <c r="R5" s="5" t="inlineStr"/>
      <c r="S5" s="6" t="inlineStr">
        <is>
          <t>expected → 20C (returns for a new call, ETA 18/06)</t>
        </is>
      </c>
      <c r="T5" s="6" t="inlineStr">
        <is>
          <t>expected → 20D (was 20C)</t>
        </is>
      </c>
      <c r="U5" s="6" t="inlineStr">
        <is>
          <t>expected · 20D (ETA 18/06→17/24)</t>
        </is>
      </c>
      <c r="V5" s="6" t="inlineStr">
        <is>
          <t>alongside · 20D (ETD 19/10→19/09)</t>
        </is>
      </c>
      <c r="W5" s="5" t="inlineStr">
        <is>
          <t>sailed (19/09)</t>
        </is>
      </c>
      <c r="X5" s="5" t="inlineStr"/>
      <c r="Y5" s="5" t="inlineStr"/>
    </row>
    <row r="6">
      <c r="A6" s="4" t="inlineStr">
        <is>
          <t>SKY CHALLENGE</t>
        </is>
      </c>
      <c r="B6" s="5" t="inlineStr">
        <is>
          <t>expected · 20AB</t>
        </is>
      </c>
      <c r="C6" s="5" t="inlineStr">
        <is>
          <t>alongside · 20AB</t>
        </is>
      </c>
      <c r="D6" s="5" t="inlineStr">
        <is>
          <t>alongside · 20AB</t>
        </is>
      </c>
      <c r="E6" s="5" t="inlineStr">
        <is>
          <t>sailed (01/04)</t>
        </is>
      </c>
      <c r="F6" s="5" t="inlineStr"/>
      <c r="G6" s="5" t="inlineStr"/>
      <c r="H6" s="5" t="inlineStr"/>
      <c r="I6" s="5" t="inlineStr"/>
      <c r="J6" s="5" t="inlineStr"/>
      <c r="K6" s="5" t="inlineStr"/>
      <c r="L6" s="5" t="inlineStr"/>
      <c r="M6" s="5" t="inlineStr"/>
      <c r="N6" s="5" t="inlineStr"/>
      <c r="O6" s="5" t="inlineStr"/>
      <c r="P6" s="5" t="inlineStr"/>
      <c r="Q6" s="5" t="inlineStr"/>
      <c r="R6" s="5" t="inlineStr"/>
      <c r="S6" s="5" t="inlineStr"/>
      <c r="T6" s="5" t="inlineStr"/>
      <c r="U6" s="5" t="inlineStr"/>
      <c r="V6" s="5" t="inlineStr"/>
      <c r="W6" s="5" t="inlineStr"/>
      <c r="X6" s="5" t="inlineStr"/>
      <c r="Y6" s="5" t="inlineStr"/>
    </row>
    <row r="7">
      <c r="A7" s="4" t="inlineStr">
        <is>
          <t>KMTC GWANGYANG</t>
        </is>
      </c>
      <c r="B7" s="5" t="inlineStr">
        <is>
          <t>alongside · 20B</t>
        </is>
      </c>
      <c r="C7" s="5" t="inlineStr">
        <is>
          <t>sailed (29/05)</t>
        </is>
      </c>
      <c r="D7" s="5" t="inlineStr"/>
      <c r="E7" s="5" t="inlineStr"/>
      <c r="F7" s="5" t="inlineStr"/>
      <c r="G7" s="5" t="inlineStr"/>
      <c r="H7" s="5" t="inlineStr"/>
      <c r="I7" s="5" t="inlineStr"/>
      <c r="J7" s="5" t="inlineStr"/>
      <c r="K7" s="5" t="inlineStr"/>
      <c r="L7" s="5" t="inlineStr"/>
      <c r="M7" s="5" t="inlineStr"/>
      <c r="N7" s="5" t="inlineStr"/>
      <c r="O7" s="5" t="inlineStr"/>
      <c r="P7" s="5" t="inlineStr"/>
      <c r="Q7" s="5" t="inlineStr"/>
      <c r="R7" s="5" t="inlineStr"/>
      <c r="S7" s="5" t="inlineStr"/>
      <c r="T7" s="5" t="inlineStr"/>
      <c r="U7" s="5" t="inlineStr"/>
      <c r="V7" s="5" t="inlineStr"/>
      <c r="W7" s="5" t="inlineStr"/>
      <c r="X7" s="6" t="inlineStr">
        <is>
          <t>expected → 20B (returns for a new call, ETA 22/13)</t>
        </is>
      </c>
      <c r="Y7" s="6" t="inlineStr">
        <is>
          <t>expected → 20AB (ETA 22/13→22/14)</t>
        </is>
      </c>
    </row>
    <row r="8">
      <c r="A8" s="4" t="inlineStr">
        <is>
          <t>MILLENNIUM BRIGHT</t>
        </is>
      </c>
      <c r="B8" s="5" t="inlineStr">
        <is>
          <t>at anchorage · 20B</t>
        </is>
      </c>
      <c r="C8" s="5" t="inlineStr">
        <is>
          <t>alongside · 20B</t>
        </is>
      </c>
      <c r="D8" s="5" t="inlineStr">
        <is>
          <t>sailed (30/04)</t>
        </is>
      </c>
      <c r="E8" s="5" t="inlineStr"/>
      <c r="F8" s="5" t="inlineStr"/>
      <c r="G8" s="5" t="inlineStr"/>
      <c r="H8" s="5" t="inlineStr"/>
      <c r="I8" s="5" t="inlineStr"/>
      <c r="J8" s="5" t="inlineStr"/>
      <c r="K8" s="5" t="inlineStr"/>
      <c r="L8" s="5" t="inlineStr"/>
      <c r="M8" s="5" t="inlineStr"/>
      <c r="N8" s="5" t="inlineStr"/>
      <c r="O8" s="5" t="inlineStr"/>
      <c r="P8" s="5" t="inlineStr"/>
      <c r="Q8" s="5" t="inlineStr"/>
      <c r="R8" s="5" t="inlineStr"/>
      <c r="S8" s="5" t="inlineStr"/>
      <c r="T8" s="5" t="inlineStr"/>
      <c r="U8" s="5" t="inlineStr"/>
      <c r="V8" s="5" t="inlineStr"/>
      <c r="W8" s="6" t="inlineStr">
        <is>
          <t>expected → 20C (returns for a new call, ETA 19/14)</t>
        </is>
      </c>
      <c r="X8" s="5" t="inlineStr">
        <is>
          <t>alongside · 20C (ETD 20/12)</t>
        </is>
      </c>
      <c r="Y8" s="5" t="inlineStr">
        <is>
          <t>sailed (20/12)</t>
        </is>
      </c>
    </row>
    <row r="9">
      <c r="A9" s="4" t="inlineStr">
        <is>
          <t>BANGKOK</t>
        </is>
      </c>
      <c r="B9" s="5" t="inlineStr">
        <is>
          <t>alongside · 20D</t>
        </is>
      </c>
      <c r="C9" s="5" t="inlineStr">
        <is>
          <t>alongside · 20D</t>
        </is>
      </c>
      <c r="D9" s="5" t="inlineStr">
        <is>
          <t>sailed (29/14)</t>
        </is>
      </c>
      <c r="E9" s="5" t="inlineStr"/>
      <c r="F9" s="5" t="inlineStr"/>
      <c r="G9" s="5" t="inlineStr"/>
      <c r="H9" s="5" t="inlineStr"/>
      <c r="I9" s="5" t="inlineStr"/>
      <c r="J9" s="5" t="inlineStr"/>
      <c r="K9" s="5" t="inlineStr"/>
      <c r="L9" s="5" t="inlineStr"/>
      <c r="M9" s="5" t="inlineStr"/>
      <c r="N9" s="5" t="inlineStr"/>
      <c r="O9" s="5" t="inlineStr"/>
      <c r="P9" s="5" t="inlineStr"/>
      <c r="Q9" s="5" t="inlineStr"/>
      <c r="R9" s="5" t="inlineStr">
        <is>
          <t>listed at 20B without times (returns, schedule TBA)</t>
        </is>
      </c>
      <c r="S9" s="6" t="inlineStr">
        <is>
          <t>expected → 20AB (times now announced: ETA 16/21, P.B 17/09, ETD 18/16)</t>
        </is>
      </c>
      <c r="T9" s="5" t="inlineStr">
        <is>
          <t>expected · 20AB</t>
        </is>
      </c>
      <c r="U9" s="5" t="inlineStr">
        <is>
          <t>alongside · 20AB (actual ETA 16/15, P.B 17/09)</t>
        </is>
      </c>
      <c r="V9" s="6" t="inlineStr">
        <is>
          <t>alongside · 20AB (ETD 18/16→19/08)</t>
        </is>
      </c>
      <c r="W9" s="5" t="inlineStr">
        <is>
          <t>sailed (19/08)</t>
        </is>
      </c>
      <c r="X9" s="5" t="inlineStr"/>
      <c r="Y9" s="5" t="inlineStr"/>
    </row>
    <row r="10">
      <c r="A10" s="4" t="inlineStr">
        <is>
          <t>TS CHIBA</t>
        </is>
      </c>
      <c r="B10" s="5" t="inlineStr">
        <is>
          <t>alongside · 20E</t>
        </is>
      </c>
      <c r="C10" s="5" t="inlineStr">
        <is>
          <t>sailed (29/04)</t>
        </is>
      </c>
      <c r="D10" s="5" t="inlineStr"/>
      <c r="E10" s="5" t="inlineStr"/>
      <c r="F10" s="5" t="inlineStr"/>
      <c r="G10" s="5" t="inlineStr"/>
      <c r="H10" s="5" t="inlineStr"/>
      <c r="I10" s="5" t="inlineStr"/>
      <c r="J10" s="5" t="inlineStr"/>
      <c r="K10" s="5" t="inlineStr"/>
      <c r="L10" s="5" t="inlineStr"/>
      <c r="M10" s="5" t="inlineStr"/>
      <c r="N10" s="5" t="inlineStr"/>
      <c r="O10" s="5" t="inlineStr"/>
      <c r="P10" s="5" t="inlineStr"/>
      <c r="Q10" s="5" t="inlineStr"/>
      <c r="R10" s="5" t="inlineStr"/>
      <c r="S10" s="6" t="inlineStr">
        <is>
          <t>expected → 20C (returns for a new call, ETA 17/02)</t>
        </is>
      </c>
      <c r="T10" s="6" t="inlineStr">
        <is>
          <t>expected → 20B (ETA 17/02→16/14, P.B 17/08→16/14, ETD 18/07→17/12)</t>
        </is>
      </c>
      <c r="U10" s="6" t="inlineStr">
        <is>
          <t>alongside · 20B (ETD 17/12→17/11)</t>
        </is>
      </c>
      <c r="V10" s="5" t="inlineStr">
        <is>
          <t>sailed (17/11)</t>
        </is>
      </c>
      <c r="W10" s="5" t="inlineStr"/>
      <c r="X10" s="5" t="inlineStr"/>
      <c r="Y10" s="5" t="inlineStr"/>
    </row>
    <row r="11">
      <c r="A11" s="4" t="inlineStr">
        <is>
          <t>HOPE C</t>
        </is>
      </c>
      <c r="B11" s="5" t="inlineStr">
        <is>
          <t>expected · 20E</t>
        </is>
      </c>
      <c r="C11" s="6" t="inlineStr">
        <is>
          <t>alongside → 20F</t>
        </is>
      </c>
      <c r="D11" s="5" t="inlineStr">
        <is>
          <t>alongside · 20F</t>
        </is>
      </c>
      <c r="E11" s="5" t="inlineStr">
        <is>
          <t>sailed (30/16)</t>
        </is>
      </c>
      <c r="F11" s="5" t="inlineStr"/>
      <c r="G11" s="5" t="inlineStr"/>
      <c r="H11" s="5" t="inlineStr"/>
      <c r="I11" s="5" t="inlineStr"/>
      <c r="J11" s="5" t="inlineStr"/>
      <c r="K11" s="5" t="inlineStr"/>
      <c r="L11" s="5" t="inlineStr"/>
      <c r="M11" s="5" t="inlineStr"/>
      <c r="N11" s="5" t="inlineStr"/>
      <c r="O11" s="5" t="inlineStr"/>
      <c r="P11" s="5" t="inlineStr"/>
      <c r="Q11" s="5" t="inlineStr"/>
      <c r="R11" s="5" t="inlineStr"/>
      <c r="S11" s="5" t="inlineStr"/>
      <c r="T11" s="5" t="inlineStr"/>
      <c r="U11" s="5" t="inlineStr"/>
      <c r="V11" s="5" t="inlineStr"/>
      <c r="W11" s="6" t="inlineStr">
        <is>
          <t>expected → 20AB (returns for a new call, shift 4A, ETA 20/24)</t>
        </is>
      </c>
      <c r="X11" s="5" t="inlineStr">
        <is>
          <t>expected · 20AB (shift 4A)</t>
        </is>
      </c>
      <c r="Y11" s="6" t="inlineStr">
        <is>
          <t>alongside · 20AB (marked, ETA 20/24→21/02, 4A)</t>
        </is>
      </c>
    </row>
    <row r="12">
      <c r="A12" s="4" t="inlineStr">
        <is>
          <t>JARU BHUM</t>
        </is>
      </c>
      <c r="B12" s="5" t="inlineStr">
        <is>
          <t>alongside · 20F (7B)</t>
        </is>
      </c>
      <c r="C12" s="5" t="inlineStr">
        <is>
          <t>sailed (29/04)</t>
        </is>
      </c>
      <c r="D12" s="5" t="inlineStr"/>
      <c r="E12" s="5" t="inlineStr"/>
      <c r="F12" s="5" t="inlineStr"/>
      <c r="G12" s="5" t="inlineStr"/>
      <c r="H12" s="5" t="inlineStr"/>
      <c r="I12" s="5" t="inlineStr"/>
      <c r="J12" s="5" t="inlineStr"/>
      <c r="K12" s="5" t="inlineStr"/>
      <c r="L12" s="5" t="inlineStr"/>
      <c r="M12" s="5" t="inlineStr"/>
      <c r="N12" s="5" t="inlineStr"/>
      <c r="O12" s="5" t="inlineStr"/>
      <c r="P12" s="5" t="inlineStr"/>
      <c r="Q12" s="5" t="inlineStr"/>
      <c r="R12" s="5" t="inlineStr"/>
      <c r="S12" s="6" t="inlineStr">
        <is>
          <t>expected → 20D (returns for a new call, shift 7B, ETA 17/18)</t>
        </is>
      </c>
      <c r="T12" s="6" t="inlineStr">
        <is>
          <t>expected → 20B (shift 7B, ETA/P.B 17/18→17/16)</t>
        </is>
      </c>
      <c r="U12" s="5" t="inlineStr">
        <is>
          <t>expected · 20B (shift 7B)</t>
        </is>
      </c>
      <c r="V12" s="6" t="inlineStr">
        <is>
          <t>alongside · 20B (ETD 18/11→18/10, 7B)</t>
        </is>
      </c>
      <c r="W12" s="5" t="inlineStr">
        <is>
          <t>sailed (18/10)</t>
        </is>
      </c>
      <c r="X12" s="5" t="inlineStr"/>
      <c r="Y12" s="5" t="inlineStr"/>
    </row>
    <row r="13">
      <c r="A13" s="4" t="inlineStr">
        <is>
          <t>MITRA BHUM</t>
        </is>
      </c>
      <c r="B13" s="5" t="inlineStr">
        <is>
          <t>expected · 20F</t>
        </is>
      </c>
      <c r="C13" s="6" t="inlineStr">
        <is>
          <t>alongside → 20E</t>
        </is>
      </c>
      <c r="D13" s="5" t="inlineStr">
        <is>
          <t>alongside · 20E</t>
        </is>
      </c>
      <c r="E13" s="5" t="inlineStr">
        <is>
          <t>sailed (30/18)</t>
        </is>
      </c>
      <c r="F13" s="5" t="inlineStr"/>
      <c r="G13" s="5" t="inlineStr"/>
      <c r="H13" s="5" t="inlineStr"/>
      <c r="I13" s="5" t="inlineStr"/>
      <c r="J13" s="5" t="inlineStr"/>
      <c r="K13" s="5" t="inlineStr"/>
      <c r="L13" s="5" t="inlineStr"/>
      <c r="M13" s="5" t="inlineStr"/>
      <c r="N13" s="5" t="inlineStr"/>
      <c r="O13" s="5" t="inlineStr"/>
      <c r="P13" s="5" t="inlineStr"/>
      <c r="Q13" s="5" t="inlineStr"/>
      <c r="R13" s="5" t="inlineStr"/>
      <c r="S13" s="6" t="inlineStr">
        <is>
          <t>expected → 20D (returns for a new call, ETA 19/23)</t>
        </is>
      </c>
      <c r="T13" s="6" t="inlineStr">
        <is>
          <t>expected → 20AB (was 20D)</t>
        </is>
      </c>
      <c r="U13" s="5" t="inlineStr">
        <is>
          <t>no longer listed (dropped from the sheet)</t>
        </is>
      </c>
      <c r="V13" s="6" t="inlineStr">
        <is>
          <t>expected → 20C (listed again; ETA 19/23→20/17, P.B 20/09→20/17, ETD 21/08→21/13)</t>
        </is>
      </c>
      <c r="W13" s="6" t="inlineStr">
        <is>
          <t>expected → 20B (ETA/P.B 20/17→21/13, ETD 21/13→22/05)</t>
        </is>
      </c>
      <c r="X13" s="5" t="inlineStr">
        <is>
          <t>expected · 20B</t>
        </is>
      </c>
      <c r="Y13" s="5" t="inlineStr">
        <is>
          <t>expected · 20B</t>
        </is>
      </c>
    </row>
    <row r="14">
      <c r="A14" s="4" t="inlineStr">
        <is>
          <t>CAPE FAWLEY</t>
        </is>
      </c>
      <c r="B14" s="5" t="inlineStr">
        <is>
          <t>expected · 20AB</t>
        </is>
      </c>
      <c r="C14" s="6" t="inlineStr">
        <is>
          <t>expected → 20C</t>
        </is>
      </c>
      <c r="D14" s="6" t="inlineStr">
        <is>
          <t>alongside → 20AB</t>
        </is>
      </c>
      <c r="E14" s="5" t="inlineStr">
        <is>
          <t>alongside · 20AB</t>
        </is>
      </c>
      <c r="F14" s="5" t="inlineStr">
        <is>
          <t>alongside · 20AB (ETD now 02/15)</t>
        </is>
      </c>
      <c r="G14" s="5" t="inlineStr">
        <is>
          <t>sailed (02/15)</t>
        </is>
      </c>
      <c r="H14" s="5" t="inlineStr"/>
      <c r="I14" s="5" t="inlineStr"/>
      <c r="J14" s="5" t="inlineStr"/>
      <c r="K14" s="5" t="inlineStr"/>
      <c r="L14" s="5" t="inlineStr"/>
      <c r="M14" s="5" t="inlineStr"/>
      <c r="N14" s="5" t="inlineStr"/>
      <c r="O14" s="5" t="inlineStr"/>
      <c r="P14" s="5" t="inlineStr"/>
      <c r="Q14" s="5" t="inlineStr"/>
      <c r="R14" s="5" t="inlineStr"/>
      <c r="S14" s="6" t="inlineStr">
        <is>
          <t>expected → 20AB (returns for a new call, ETA 19/18)</t>
        </is>
      </c>
      <c r="T14" s="6" t="inlineStr">
        <is>
          <t>expected → 20C (was 20AB)</t>
        </is>
      </c>
      <c r="U14" s="5" t="inlineStr">
        <is>
          <t>20C row with only LOA 558 m printed (no name or times)</t>
        </is>
      </c>
      <c r="V14" s="5" t="inlineStr">
        <is>
          <t>no longer listed (the unnamed LOA 558 m row is gone)</t>
        </is>
      </c>
      <c r="W14" s="6" t="inlineStr">
        <is>
          <t>expected → 20C (listed again with times: ETA 21/11, P.B 21/12, ETD 23/12)</t>
        </is>
      </c>
      <c r="X14" s="5" t="inlineStr">
        <is>
          <t>expected · 20C</t>
        </is>
      </c>
      <c r="Y14" s="5" t="inlineStr">
        <is>
          <t>expected · 20C</t>
        </is>
      </c>
    </row>
    <row r="15">
      <c r="A15" s="4" t="inlineStr">
        <is>
          <t>M ODYSSEY</t>
        </is>
      </c>
      <c r="B15" s="5" t="inlineStr">
        <is>
          <t>expected · 20B (4A)</t>
        </is>
      </c>
      <c r="C15" s="5" t="inlineStr">
        <is>
          <t>alongside · 20B</t>
        </is>
      </c>
      <c r="D15" s="5" t="inlineStr">
        <is>
          <t>alongside · 20B</t>
        </is>
      </c>
      <c r="E15" s="5" t="inlineStr">
        <is>
          <t>sailed (01/05)</t>
        </is>
      </c>
      <c r="F15" s="5" t="inlineStr"/>
      <c r="G15" s="5" t="inlineStr"/>
      <c r="H15" s="5" t="inlineStr"/>
      <c r="I15" s="5" t="inlineStr"/>
      <c r="J15" s="5" t="inlineStr"/>
      <c r="K15" s="5" t="inlineStr"/>
      <c r="L15" s="5" t="inlineStr"/>
      <c r="M15" s="5" t="inlineStr"/>
      <c r="N15" s="5" t="inlineStr"/>
      <c r="O15" s="5" t="inlineStr"/>
      <c r="P15" s="6" t="inlineStr">
        <is>
          <t>expected → 20C (returns for a new call, shift 4A)</t>
        </is>
      </c>
      <c r="Q15" s="5" t="inlineStr">
        <is>
          <t>expected · 20C (shift 4A no longer shown)</t>
        </is>
      </c>
      <c r="R15" s="6" t="inlineStr">
        <is>
          <t>at anchorage → 20B (shift 4A, ETA 14/03→14/01, P.B 14/14→14/15)</t>
        </is>
      </c>
      <c r="S15" s="5" t="inlineStr">
        <is>
          <t>sailed (15/05)</t>
        </is>
      </c>
      <c r="T15" s="5" t="inlineStr"/>
      <c r="U15" s="5" t="inlineStr"/>
      <c r="V15" s="5" t="inlineStr"/>
      <c r="W15" s="5" t="inlineStr"/>
      <c r="X15" s="5" t="inlineStr"/>
      <c r="Y15" s="5" t="inlineStr"/>
    </row>
    <row r="16">
      <c r="A16" s="4" t="inlineStr">
        <is>
          <t>KHARIS HERITAGE</t>
        </is>
      </c>
      <c r="B16" s="5" t="inlineStr"/>
      <c r="C16" s="5" t="inlineStr">
        <is>
          <t>expected · 20AB</t>
        </is>
      </c>
      <c r="D16" s="6" t="inlineStr">
        <is>
          <t>alongside → 20B (marked)</t>
        </is>
      </c>
      <c r="E16" s="6" t="inlineStr">
        <is>
          <t>alongside · 20B (marked)</t>
        </is>
      </c>
      <c r="F16" s="6" t="inlineStr">
        <is>
          <t>alongside · 20B (marked)</t>
        </is>
      </c>
      <c r="G16" s="5" t="inlineStr">
        <is>
          <t>sailed (02/17)</t>
        </is>
      </c>
      <c r="H16" s="5" t="inlineStr"/>
      <c r="I16" s="5" t="inlineStr"/>
      <c r="J16" s="5" t="inlineStr"/>
      <c r="K16" s="5" t="inlineStr"/>
      <c r="L16" s="5" t="inlineStr"/>
      <c r="M16" s="5" t="inlineStr"/>
      <c r="N16" s="5" t="inlineStr"/>
      <c r="O16" s="5" t="inlineStr"/>
      <c r="P16" s="5" t="inlineStr"/>
      <c r="Q16" s="6" t="inlineStr">
        <is>
          <t>expected → 20C (returns for a new call, ETA 15/01)</t>
        </is>
      </c>
      <c r="R16" s="6" t="inlineStr">
        <is>
          <t>expected → 20B</t>
        </is>
      </c>
      <c r="S16" s="6" t="inlineStr">
        <is>
          <t>alongside · 20B (P.B 15/07→15/06)</t>
        </is>
      </c>
      <c r="T16" s="5" t="inlineStr">
        <is>
          <t>sailed (16/07)</t>
        </is>
      </c>
      <c r="U16" s="5" t="inlineStr"/>
      <c r="V16" s="5" t="inlineStr"/>
      <c r="W16" s="5" t="inlineStr"/>
      <c r="X16" s="5" t="inlineStr"/>
      <c r="Y16" s="5" t="inlineStr"/>
    </row>
    <row r="17">
      <c r="A17" s="4" t="inlineStr">
        <is>
          <t>ALS SUMIRE</t>
        </is>
      </c>
      <c r="B17" s="5" t="inlineStr"/>
      <c r="C17" s="5" t="inlineStr">
        <is>
          <t>expected · 20F (1C)</t>
        </is>
      </c>
      <c r="D17" s="6" t="inlineStr">
        <is>
          <t>alongside → 20D (marked, 1C)</t>
        </is>
      </c>
      <c r="E17" s="6" t="inlineStr">
        <is>
          <t>expected · 20D (marked, 1C)</t>
        </is>
      </c>
      <c r="F17" s="6" t="inlineStr">
        <is>
          <t>alongside · 20D (marked, 1C)</t>
        </is>
      </c>
      <c r="G17" s="5" t="inlineStr">
        <is>
          <t>sailed (02/17)</t>
        </is>
      </c>
      <c r="H17" s="5" t="inlineStr"/>
      <c r="I17" s="5" t="inlineStr"/>
      <c r="J17" s="5" t="inlineStr"/>
      <c r="K17" s="5" t="inlineStr"/>
      <c r="L17" s="5" t="inlineStr"/>
      <c r="M17" s="6" t="inlineStr">
        <is>
          <t>expected → 20C (returns for a new call, ETA 12/18, shift 1C)</t>
        </is>
      </c>
      <c r="N17" s="6" t="inlineStr">
        <is>
          <t>expected → 20B (marked, 1C; ETA 12/18→12/22, ETD 14/05→14/06)</t>
        </is>
      </c>
      <c r="O17" s="6" t="inlineStr">
        <is>
          <t>expected → 20F (1C)</t>
        </is>
      </c>
      <c r="P17" s="5" t="inlineStr">
        <is>
          <t>expected · 20F (1C)</t>
        </is>
      </c>
      <c r="Q17" s="5" t="inlineStr">
        <is>
          <t>alongside · 20F (P.B 13/06, ETD 14/06, 1C)</t>
        </is>
      </c>
      <c r="R17" s="5" t="inlineStr">
        <is>
          <t>sailed (14/06)</t>
        </is>
      </c>
      <c r="S17" s="5" t="inlineStr"/>
      <c r="T17" s="5" t="inlineStr"/>
      <c r="U17" s="5" t="inlineStr"/>
      <c r="V17" s="5" t="inlineStr"/>
      <c r="W17" s="6" t="inlineStr">
        <is>
          <t>expected → 20E (returns for another call, 1C, ETA 21/17)</t>
        </is>
      </c>
      <c r="X17" s="6" t="inlineStr">
        <is>
          <t>expected → 20AB (1C; ETA 21/17→21/22, P.B 21/17→22/13, ETD 22/17→23/16)</t>
        </is>
      </c>
      <c r="Y17" s="5" t="inlineStr">
        <is>
          <t>expected · 20AB (1C)</t>
        </is>
      </c>
    </row>
    <row r="18">
      <c r="A18" s="4" t="inlineStr">
        <is>
          <t>KMTC BANGKOK</t>
        </is>
      </c>
      <c r="B18" s="5" t="inlineStr"/>
      <c r="C18" s="5" t="inlineStr"/>
      <c r="D18" s="5" t="inlineStr">
        <is>
          <t>expected · 20AB (new)</t>
        </is>
      </c>
      <c r="E18" s="5" t="inlineStr">
        <is>
          <t>expected · 20AB</t>
        </is>
      </c>
      <c r="F18" s="6" t="inlineStr">
        <is>
          <t>alongside → 20F</t>
        </is>
      </c>
      <c r="G18" s="5" t="inlineStr">
        <is>
          <t>alongside · 20F (D&amp;T 02/11)</t>
        </is>
      </c>
      <c r="H18" s="5" t="inlineStr">
        <is>
          <t>sailed (03/17)</t>
        </is>
      </c>
      <c r="I18" s="5" t="inlineStr"/>
      <c r="J18" s="5" t="inlineStr"/>
      <c r="K18" s="5" t="inlineStr"/>
      <c r="L18" s="5" t="inlineStr"/>
      <c r="M18" s="5" t="inlineStr"/>
      <c r="N18" s="5" t="inlineStr"/>
      <c r="O18" s="5" t="inlineStr"/>
      <c r="P18" s="5" t="inlineStr"/>
      <c r="Q18" s="5" t="inlineStr"/>
      <c r="R18" s="5" t="inlineStr"/>
      <c r="S18" s="5" t="inlineStr"/>
      <c r="T18" s="5" t="inlineStr"/>
      <c r="U18" s="5" t="inlineStr"/>
      <c r="V18" s="5" t="inlineStr"/>
      <c r="W18" s="5" t="inlineStr"/>
      <c r="X18" s="5" t="inlineStr"/>
      <c r="Y18" s="5" t="inlineStr"/>
    </row>
    <row r="19">
      <c r="A19" s="4" t="inlineStr">
        <is>
          <t>WAN HAI 278</t>
        </is>
      </c>
      <c r="B19" s="5" t="inlineStr"/>
      <c r="C19" s="5" t="inlineStr"/>
      <c r="D19" s="5" t="inlineStr">
        <is>
          <t>expected · 20F (new)</t>
        </is>
      </c>
      <c r="E19" s="5" t="inlineStr">
        <is>
          <t>expected · 20F</t>
        </is>
      </c>
      <c r="F19" s="6" t="inlineStr">
        <is>
          <t>expected → 20E</t>
        </is>
      </c>
      <c r="G19" s="5" t="inlineStr">
        <is>
          <t>at anchorage · 20E (ETA 02/22, P.B 03/10)</t>
        </is>
      </c>
      <c r="H19" s="5" t="inlineStr">
        <is>
          <t>alongside · 20E (P.B 03/10)</t>
        </is>
      </c>
      <c r="I19" s="5" t="inlineStr">
        <is>
          <t>alongside · 20E (ETD 05/11)</t>
        </is>
      </c>
      <c r="J19" s="5" t="inlineStr">
        <is>
          <t>sailed (05/11)</t>
        </is>
      </c>
      <c r="K19" s="5" t="inlineStr"/>
      <c r="L19" s="5" t="inlineStr"/>
      <c r="M19" s="5" t="inlineStr"/>
      <c r="N19" s="5" t="inlineStr"/>
      <c r="O19" s="5" t="inlineStr"/>
      <c r="P19" s="5" t="inlineStr"/>
      <c r="Q19" s="5" t="inlineStr"/>
      <c r="R19" s="5" t="inlineStr"/>
      <c r="S19" s="5" t="inlineStr"/>
      <c r="T19" s="5" t="inlineStr"/>
      <c r="U19" s="5" t="inlineStr"/>
      <c r="V19" s="5" t="inlineStr"/>
      <c r="W19" s="5" t="inlineStr"/>
      <c r="X19" s="5" t="inlineStr"/>
      <c r="Y19" s="5" t="inlineStr"/>
    </row>
    <row r="20">
      <c r="A20" s="4" t="inlineStr">
        <is>
          <t>ZHONG GU BEI HAI</t>
        </is>
      </c>
      <c r="B20" s="5" t="inlineStr"/>
      <c r="C20" s="5" t="inlineStr"/>
      <c r="D20" s="5" t="inlineStr"/>
      <c r="E20" s="5" t="inlineStr">
        <is>
          <t>expected · 20B (new)</t>
        </is>
      </c>
      <c r="F20" s="6" t="inlineStr">
        <is>
          <t>expected → 20AB</t>
        </is>
      </c>
      <c r="G20" s="6" t="inlineStr">
        <is>
          <t>expected · 20AB (marked, P.B slipped to 04/15)</t>
        </is>
      </c>
      <c r="H20" s="5" t="inlineStr">
        <is>
          <t>at anchorage · 20AB (ETA 04/09, P.B 04/15)</t>
        </is>
      </c>
      <c r="I20" s="5" t="inlineStr">
        <is>
          <t>alongside · 20AB (ETD slipped to 06/11)</t>
        </is>
      </c>
      <c r="J20" s="5" t="inlineStr">
        <is>
          <t>alongside · 20AB (ETD 06/11)</t>
        </is>
      </c>
      <c r="K20" s="5" t="inlineStr">
        <is>
          <t>sailed (06/11)</t>
        </is>
      </c>
      <c r="L20" s="5" t="inlineStr"/>
      <c r="M20" s="5" t="inlineStr"/>
      <c r="N20" s="5" t="inlineStr"/>
      <c r="O20" s="5" t="inlineStr"/>
      <c r="P20" s="5" t="inlineStr"/>
      <c r="Q20" s="5" t="inlineStr"/>
      <c r="R20" s="5" t="inlineStr"/>
      <c r="S20" s="5" t="inlineStr"/>
      <c r="T20" s="5" t="inlineStr"/>
      <c r="U20" s="5" t="inlineStr"/>
      <c r="V20" s="5" t="inlineStr"/>
      <c r="W20" s="5" t="inlineStr"/>
      <c r="X20" s="5" t="inlineStr"/>
      <c r="Y20" s="5" t="inlineStr"/>
    </row>
    <row r="21">
      <c r="A21" s="4" t="inlineStr">
        <is>
          <t>YM IMPROVEMENT</t>
        </is>
      </c>
      <c r="B21" s="5" t="inlineStr"/>
      <c r="C21" s="5" t="inlineStr"/>
      <c r="D21" s="5" t="inlineStr"/>
      <c r="E21" s="5" t="inlineStr">
        <is>
          <t>expected · 20C (new)</t>
        </is>
      </c>
      <c r="F21" s="6" t="inlineStr">
        <is>
          <t>expected → 20B</t>
        </is>
      </c>
      <c r="G21" s="5" t="inlineStr">
        <is>
          <t>expected · 20B (P.B slipped to 04/10)</t>
        </is>
      </c>
      <c r="H21" s="5" t="inlineStr">
        <is>
          <t>alongside · 20B (P.B 04/10)</t>
        </is>
      </c>
      <c r="I21" s="5" t="inlineStr">
        <is>
          <t>alongside · 20B (ETD 05/12)</t>
        </is>
      </c>
      <c r="J21" s="5" t="inlineStr">
        <is>
          <t>sailed (05/12)</t>
        </is>
      </c>
      <c r="K21" s="5" t="inlineStr"/>
      <c r="L21" s="5" t="inlineStr"/>
      <c r="M21" s="5" t="inlineStr"/>
      <c r="N21" s="5" t="inlineStr"/>
      <c r="O21" s="5" t="inlineStr"/>
      <c r="P21" s="5" t="inlineStr"/>
      <c r="Q21" s="5" t="inlineStr"/>
      <c r="R21" s="5" t="inlineStr"/>
      <c r="S21" s="5" t="inlineStr"/>
      <c r="T21" s="5" t="inlineStr"/>
      <c r="U21" s="5" t="inlineStr"/>
      <c r="V21" s="5" t="inlineStr"/>
      <c r="W21" s="5" t="inlineStr"/>
      <c r="X21" s="5" t="inlineStr"/>
      <c r="Y21" s="5" t="inlineStr"/>
    </row>
    <row r="22">
      <c r="A22" s="4" t="inlineStr">
        <is>
          <t>RESURGENCE</t>
        </is>
      </c>
      <c r="B22" s="5" t="inlineStr"/>
      <c r="C22" s="5" t="inlineStr"/>
      <c r="D22" s="5" t="inlineStr"/>
      <c r="E22" s="5" t="inlineStr">
        <is>
          <t>expected · 20E (new)</t>
        </is>
      </c>
      <c r="F22" s="6" t="inlineStr">
        <is>
          <t>expected → 20AB</t>
        </is>
      </c>
      <c r="G22" s="5" t="inlineStr">
        <is>
          <t>expected · 20AB (ETD now 04/17)</t>
        </is>
      </c>
      <c r="H22" s="5" t="inlineStr">
        <is>
          <t>alongside · 20AB (ETD 04/17)</t>
        </is>
      </c>
      <c r="I22" s="5" t="inlineStr">
        <is>
          <t>sailed (04/17)</t>
        </is>
      </c>
      <c r="J22" s="5" t="inlineStr"/>
      <c r="K22" s="5" t="inlineStr"/>
      <c r="L22" s="5" t="inlineStr"/>
      <c r="M22" s="5" t="inlineStr"/>
      <c r="N22" s="5" t="inlineStr"/>
      <c r="O22" s="5" t="inlineStr"/>
      <c r="P22" s="5" t="inlineStr"/>
      <c r="Q22" s="5" t="inlineStr"/>
      <c r="R22" s="5" t="inlineStr"/>
      <c r="S22" s="5" t="inlineStr"/>
      <c r="T22" s="5" t="inlineStr"/>
      <c r="U22" s="5" t="inlineStr"/>
      <c r="V22" s="5" t="inlineStr"/>
      <c r="W22" s="5" t="inlineStr"/>
      <c r="X22" s="5" t="inlineStr"/>
      <c r="Y22" s="5" t="inlineStr"/>
    </row>
    <row r="23">
      <c r="A23" s="4" t="inlineStr">
        <is>
          <t>JOSCO LUCKY</t>
        </is>
      </c>
      <c r="B23" s="5" t="inlineStr"/>
      <c r="C23" s="5" t="inlineStr"/>
      <c r="D23" s="5" t="inlineStr"/>
      <c r="E23" s="5" t="inlineStr"/>
      <c r="F23" s="5" t="inlineStr">
        <is>
          <t>expected · 20B (new)</t>
        </is>
      </c>
      <c r="G23" s="6" t="inlineStr">
        <is>
          <t>expected → 20B</t>
        </is>
      </c>
      <c r="H23" s="6" t="inlineStr">
        <is>
          <t>expected → 20AB</t>
        </is>
      </c>
      <c r="I23" s="6" t="inlineStr">
        <is>
          <t>expected → 20D (P.B 06/18)</t>
        </is>
      </c>
      <c r="J23" s="6" t="inlineStr">
        <is>
          <t>expected → 20C (P.B 07/13)</t>
        </is>
      </c>
      <c r="K23" s="6" t="inlineStr">
        <is>
          <t>at anchorage · 20C (P.B 07/13, ETD 08/12→08/13)</t>
        </is>
      </c>
      <c r="L23" s="5" t="inlineStr">
        <is>
          <t>alongside · 20C (ETD 08/13)</t>
        </is>
      </c>
      <c r="M23" s="5" t="inlineStr">
        <is>
          <t>sailed (08/13)</t>
        </is>
      </c>
      <c r="N23" s="5" t="inlineStr"/>
      <c r="O23" s="5" t="inlineStr"/>
      <c r="P23" s="5" t="inlineStr"/>
      <c r="Q23" s="5" t="inlineStr"/>
      <c r="R23" s="5" t="inlineStr"/>
      <c r="S23" s="5" t="inlineStr"/>
      <c r="T23" s="5" t="inlineStr"/>
      <c r="U23" s="5" t="inlineStr"/>
      <c r="V23" s="5" t="inlineStr"/>
      <c r="W23" s="5" t="inlineStr"/>
      <c r="X23" s="5" t="inlineStr"/>
      <c r="Y23" s="5" t="inlineStr"/>
    </row>
    <row r="24">
      <c r="A24" s="4" t="inlineStr">
        <is>
          <t>SAWASDEE DENEB</t>
        </is>
      </c>
      <c r="B24" s="5" t="inlineStr"/>
      <c r="C24" s="5" t="inlineStr"/>
      <c r="D24" s="5" t="inlineStr"/>
      <c r="E24" s="5" t="inlineStr"/>
      <c r="F24" s="5" t="inlineStr">
        <is>
          <t>expected · 20C (new, first since reopening)</t>
        </is>
      </c>
      <c r="G24" s="5" t="inlineStr">
        <is>
          <t>expected · 20C</t>
        </is>
      </c>
      <c r="H24" s="5" t="inlineStr">
        <is>
          <t>expected · 20C</t>
        </is>
      </c>
      <c r="I24" s="5" t="inlineStr">
        <is>
          <t>at anchorage · 20C (P.B 05/12)</t>
        </is>
      </c>
      <c r="J24" s="5" t="inlineStr">
        <is>
          <t>alongside · 20C (ETD now 07/11)</t>
        </is>
      </c>
      <c r="K24" s="5" t="inlineStr">
        <is>
          <t>alongside · 20C (ETD 07/11)</t>
        </is>
      </c>
      <c r="L24" s="5" t="inlineStr">
        <is>
          <t>sailed (07/11)</t>
        </is>
      </c>
      <c r="M24" s="5" t="inlineStr"/>
      <c r="N24" s="5" t="inlineStr"/>
      <c r="O24" s="5" t="inlineStr"/>
      <c r="P24" s="5" t="inlineStr"/>
      <c r="Q24" s="5" t="inlineStr"/>
      <c r="R24" s="5" t="inlineStr"/>
      <c r="S24" s="5" t="inlineStr"/>
      <c r="T24" s="5" t="inlineStr"/>
      <c r="U24" s="5" t="inlineStr"/>
      <c r="V24" s="5" t="inlineStr"/>
      <c r="W24" s="5" t="inlineStr"/>
      <c r="X24" s="5" t="inlineStr"/>
      <c r="Y24" s="5" t="inlineStr"/>
    </row>
    <row r="25">
      <c r="A25" s="4" t="inlineStr">
        <is>
          <t>HARI BHUM (Barge)</t>
        </is>
      </c>
      <c r="B25" s="5" t="inlineStr"/>
      <c r="C25" s="5" t="inlineStr"/>
      <c r="D25" s="5" t="inlineStr"/>
      <c r="E25" s="5" t="inlineStr"/>
      <c r="F25" s="5" t="inlineStr">
        <is>
          <t>expected · 20D (new, barge)</t>
        </is>
      </c>
      <c r="G25" s="5" t="inlineStr">
        <is>
          <t>alongside · 20D (D&amp;T 03/07)</t>
        </is>
      </c>
      <c r="H25" s="5" t="inlineStr">
        <is>
          <t>sailed (03/16)</t>
        </is>
      </c>
      <c r="I25" s="5" t="inlineStr"/>
      <c r="J25" s="5" t="inlineStr"/>
      <c r="K25" s="5" t="inlineStr"/>
      <c r="L25" s="5" t="inlineStr"/>
      <c r="M25" s="5" t="inlineStr"/>
      <c r="N25" s="5" t="inlineStr"/>
      <c r="O25" s="5" t="inlineStr"/>
      <c r="P25" s="5" t="inlineStr"/>
      <c r="Q25" s="5" t="inlineStr"/>
      <c r="R25" s="5" t="inlineStr"/>
      <c r="S25" s="5" t="inlineStr"/>
      <c r="T25" s="5" t="inlineStr"/>
      <c r="U25" s="5" t="inlineStr"/>
      <c r="V25" s="5" t="inlineStr"/>
      <c r="W25" s="5" t="inlineStr"/>
      <c r="X25" s="5" t="inlineStr"/>
      <c r="Y25" s="5" t="inlineStr"/>
    </row>
    <row r="26">
      <c r="A26" s="4" t="inlineStr">
        <is>
          <t>XIN MING ZHOU 98</t>
        </is>
      </c>
      <c r="B26" s="5" t="inlineStr"/>
      <c r="C26" s="5" t="inlineStr"/>
      <c r="D26" s="5" t="inlineStr"/>
      <c r="E26" s="5" t="inlineStr"/>
      <c r="F26" s="5" t="inlineStr">
        <is>
          <t>expected · 20F (new)</t>
        </is>
      </c>
      <c r="G26" s="5" t="inlineStr">
        <is>
          <t>expected · 20F</t>
        </is>
      </c>
      <c r="H26" s="5" t="inlineStr">
        <is>
          <t>alongside · 20F (P.B 04/09)</t>
        </is>
      </c>
      <c r="I26" s="5" t="inlineStr">
        <is>
          <t>sailed (05/09)</t>
        </is>
      </c>
      <c r="J26" s="5" t="inlineStr"/>
      <c r="K26" s="5" t="inlineStr"/>
      <c r="L26" s="5" t="inlineStr"/>
      <c r="M26" s="5" t="inlineStr"/>
      <c r="N26" s="5" t="inlineStr"/>
      <c r="O26" s="5" t="inlineStr"/>
      <c r="P26" s="5" t="inlineStr"/>
      <c r="Q26" s="5" t="inlineStr"/>
      <c r="R26" s="5" t="inlineStr"/>
      <c r="S26" s="5" t="inlineStr"/>
      <c r="T26" s="5" t="inlineStr"/>
      <c r="U26" s="5" t="inlineStr"/>
      <c r="V26" s="5" t="inlineStr"/>
      <c r="W26" s="5" t="inlineStr"/>
      <c r="X26" s="5" t="inlineStr"/>
      <c r="Y26" s="5" t="inlineStr"/>
    </row>
    <row r="27">
      <c r="A27" s="4" t="inlineStr">
        <is>
          <t>SAWASDEE SPICA</t>
        </is>
      </c>
      <c r="B27" s="5" t="inlineStr"/>
      <c r="C27" s="5" t="inlineStr"/>
      <c r="D27" s="5" t="inlineStr"/>
      <c r="E27" s="5" t="inlineStr"/>
      <c r="F27" s="5" t="inlineStr"/>
      <c r="G27" s="5" t="inlineStr">
        <is>
          <t>feeder sheet only · 20B (not on berthing sheet)</t>
        </is>
      </c>
      <c r="H27" s="5" t="inlineStr">
        <is>
          <t>expected · 20B (P.B 06/13, ETD 08/13)</t>
        </is>
      </c>
      <c r="I27" s="5" t="inlineStr">
        <is>
          <t>expected · 20B</t>
        </is>
      </c>
      <c r="J27" s="5" t="inlineStr">
        <is>
          <t>expected · 20B (P.B 06/13)</t>
        </is>
      </c>
      <c r="K27" s="5" t="inlineStr">
        <is>
          <t>alongside · 20B (ETD 08/13)</t>
        </is>
      </c>
      <c r="L27" s="5" t="inlineStr">
        <is>
          <t>alongside · 20B (ETD 08/13)</t>
        </is>
      </c>
      <c r="M27" s="5" t="inlineStr">
        <is>
          <t>sailed (08/13)</t>
        </is>
      </c>
      <c r="N27" s="5" t="inlineStr"/>
      <c r="O27" s="5" t="inlineStr"/>
      <c r="P27" s="5" t="inlineStr"/>
      <c r="Q27" s="5" t="inlineStr"/>
      <c r="R27" s="5" t="inlineStr"/>
      <c r="S27" s="5" t="inlineStr"/>
      <c r="T27" s="5" t="inlineStr"/>
      <c r="U27" s="5" t="inlineStr"/>
      <c r="V27" s="5" t="inlineStr"/>
      <c r="W27" s="5" t="inlineStr"/>
      <c r="X27" s="5" t="inlineStr"/>
      <c r="Y27" s="5" t="inlineStr"/>
    </row>
    <row r="28">
      <c r="A28" s="4" t="inlineStr">
        <is>
          <t>KMTC TOKYO</t>
        </is>
      </c>
      <c r="B28" s="5" t="inlineStr"/>
      <c r="C28" s="5" t="inlineStr"/>
      <c r="D28" s="5" t="inlineStr"/>
      <c r="E28" s="5" t="inlineStr"/>
      <c r="F28" s="5" t="inlineStr"/>
      <c r="G28" s="5" t="inlineStr"/>
      <c r="H28" s="5" t="inlineStr">
        <is>
          <t>expected · 20F (new)</t>
        </is>
      </c>
      <c r="I28" s="6" t="inlineStr">
        <is>
          <t>expected → 20AB (ETA 06/13)</t>
        </is>
      </c>
      <c r="J28" s="5" t="inlineStr">
        <is>
          <t>expected · 20AB (P.B 06/13)</t>
        </is>
      </c>
      <c r="K28" s="5" t="inlineStr">
        <is>
          <t>alongside · 20AB (ETD 08/12)</t>
        </is>
      </c>
      <c r="L28" s="5" t="inlineStr">
        <is>
          <t>alongside · 20AB (ETD 08/12)</t>
        </is>
      </c>
      <c r="M28" s="5" t="inlineStr">
        <is>
          <t>sailed (08/12)</t>
        </is>
      </c>
      <c r="N28" s="5" t="inlineStr"/>
      <c r="O28" s="5" t="inlineStr"/>
      <c r="P28" s="5" t="inlineStr"/>
      <c r="Q28" s="5" t="inlineStr"/>
      <c r="R28" s="5" t="inlineStr"/>
      <c r="S28" s="5" t="inlineStr"/>
      <c r="T28" s="5" t="inlineStr"/>
      <c r="U28" s="5" t="inlineStr"/>
      <c r="V28" s="5" t="inlineStr"/>
      <c r="W28" s="5" t="inlineStr"/>
      <c r="X28" s="5" t="inlineStr"/>
      <c r="Y28" s="5" t="inlineStr"/>
    </row>
    <row r="29">
      <c r="A29" s="4" t="inlineStr">
        <is>
          <t>GREEN PARK</t>
        </is>
      </c>
      <c r="B29" s="5" t="inlineStr"/>
      <c r="C29" s="5" t="inlineStr"/>
      <c r="D29" s="5" t="inlineStr"/>
      <c r="E29" s="5" t="inlineStr"/>
      <c r="F29" s="5" t="inlineStr"/>
      <c r="G29" s="5" t="inlineStr"/>
      <c r="H29" s="5" t="inlineStr"/>
      <c r="I29" s="6" t="inlineStr">
        <is>
          <t>expected · 20AB (new, marked)</t>
        </is>
      </c>
      <c r="J29" s="6" t="inlineStr">
        <is>
          <t>expected → 20B</t>
        </is>
      </c>
      <c r="K29" s="6" t="inlineStr">
        <is>
          <t>expected → 20AB (P.B 08/15→08/13)</t>
        </is>
      </c>
      <c r="L29" s="6" t="inlineStr">
        <is>
          <t>at anchorage · 20AB (ETA 07/11→07/10, P.B 08/13)</t>
        </is>
      </c>
      <c r="M29" s="6" t="inlineStr">
        <is>
          <t>alongside · 20AB (P.B 08/13→08/14, ETD 09/14→09/16)</t>
        </is>
      </c>
      <c r="N29" s="5" t="inlineStr">
        <is>
          <t>sailed (09/16)</t>
        </is>
      </c>
      <c r="O29" s="5" t="inlineStr"/>
      <c r="P29" s="5" t="inlineStr"/>
      <c r="Q29" s="5" t="inlineStr"/>
      <c r="R29" s="5" t="inlineStr"/>
      <c r="S29" s="5" t="inlineStr"/>
      <c r="T29" s="5" t="inlineStr"/>
      <c r="U29" s="5" t="inlineStr"/>
      <c r="V29" s="5" t="inlineStr"/>
      <c r="W29" s="6" t="inlineStr">
        <is>
          <t>expected → 20F (returns for a new call, ETA 21/17)</t>
        </is>
      </c>
      <c r="X29" s="6" t="inlineStr">
        <is>
          <t>expected → 20B</t>
        </is>
      </c>
      <c r="Y29" s="6" t="inlineStr">
        <is>
          <t>expected · 20B (ETA 21/17→21/14)</t>
        </is>
      </c>
    </row>
    <row r="30">
      <c r="A30" s="4" t="inlineStr">
        <is>
          <t>SAWASDEE ATLANTIC</t>
        </is>
      </c>
      <c r="B30" s="5" t="inlineStr"/>
      <c r="C30" s="5" t="inlineStr"/>
      <c r="D30" s="5" t="inlineStr"/>
      <c r="E30" s="5" t="inlineStr"/>
      <c r="F30" s="5" t="inlineStr"/>
      <c r="G30" s="5" t="inlineStr"/>
      <c r="H30" s="5" t="inlineStr"/>
      <c r="I30" s="5" t="inlineStr">
        <is>
          <t>expected · 20C (new)</t>
        </is>
      </c>
      <c r="J30" s="6" t="inlineStr">
        <is>
          <t>expected · 20C (P.B 08/15→09/15, ETD 10/13→11/03)</t>
        </is>
      </c>
      <c r="K30" s="6" t="inlineStr">
        <is>
          <t>expected → 20D</t>
        </is>
      </c>
      <c r="L30" s="6" t="inlineStr">
        <is>
          <t>at anchorage → 20F (ETA 07/22→07/20)</t>
        </is>
      </c>
      <c r="M30" s="5" t="inlineStr">
        <is>
          <t>at anchorage · 20F (P.B 09/15)</t>
        </is>
      </c>
      <c r="N30" s="6" t="inlineStr">
        <is>
          <t>alongside · 20F (ETD 11/03→11/13)</t>
        </is>
      </c>
      <c r="O30" s="6" t="inlineStr">
        <is>
          <t>alongside · 20F (ETD 11/13→11/12)</t>
        </is>
      </c>
      <c r="P30" s="5" t="inlineStr">
        <is>
          <t>sailed (11/12)</t>
        </is>
      </c>
      <c r="Q30" s="5" t="inlineStr"/>
      <c r="R30" s="5" t="inlineStr"/>
      <c r="S30" s="5" t="inlineStr"/>
      <c r="T30" s="5" t="inlineStr"/>
      <c r="U30" s="5" t="inlineStr"/>
      <c r="V30" s="5" t="inlineStr"/>
      <c r="W30" s="5" t="inlineStr"/>
      <c r="X30" s="5" t="inlineStr"/>
      <c r="Y30" s="5" t="inlineStr"/>
    </row>
    <row r="31">
      <c r="A31" s="4" t="inlineStr">
        <is>
          <t>MTT BANGKOK</t>
        </is>
      </c>
      <c r="B31" s="5" t="inlineStr"/>
      <c r="C31" s="5" t="inlineStr"/>
      <c r="D31" s="5" t="inlineStr"/>
      <c r="E31" s="5" t="inlineStr"/>
      <c r="F31" s="5" t="inlineStr"/>
      <c r="G31" s="5" t="inlineStr"/>
      <c r="H31" s="5" t="inlineStr"/>
      <c r="I31" s="6" t="inlineStr">
        <is>
          <t>expected · 20D (new, marked)</t>
        </is>
      </c>
      <c r="J31" s="6" t="inlineStr">
        <is>
          <t>expected · 20D (P.B 07/17→07/14)</t>
        </is>
      </c>
      <c r="K31" s="5" t="inlineStr">
        <is>
          <t>expected · 20D (ETA 07/12)</t>
        </is>
      </c>
      <c r="L31" s="6" t="inlineStr">
        <is>
          <t>alongside · 20D (ETD 09/13→09/02)</t>
        </is>
      </c>
      <c r="M31" s="5" t="inlineStr">
        <is>
          <t>sailed (09/02)</t>
        </is>
      </c>
      <c r="N31" s="5" t="inlineStr"/>
      <c r="O31" s="5" t="inlineStr"/>
      <c r="P31" s="5" t="inlineStr"/>
      <c r="Q31" s="5" t="inlineStr"/>
      <c r="R31" s="5" t="inlineStr"/>
      <c r="S31" s="5" t="inlineStr"/>
      <c r="T31" s="5" t="inlineStr"/>
      <c r="U31" s="5" t="inlineStr"/>
      <c r="V31" s="6" t="inlineStr">
        <is>
          <t>expected → 20B (returns for a new call, ETA 20/15)</t>
        </is>
      </c>
      <c r="W31" s="6" t="inlineStr">
        <is>
          <t>expected → 20E</t>
        </is>
      </c>
      <c r="X31" s="5" t="inlineStr">
        <is>
          <t>expected · 20E</t>
        </is>
      </c>
      <c r="Y31" s="6" t="inlineStr">
        <is>
          <t>alongside · 20E (marked, P.B 20/15→20/18, ETD 21/13→21/20)</t>
        </is>
      </c>
    </row>
    <row r="32">
      <c r="A32" s="4" t="inlineStr">
        <is>
          <t>XIN AN</t>
        </is>
      </c>
      <c r="B32" s="5" t="inlineStr"/>
      <c r="C32" s="5" t="inlineStr"/>
      <c r="D32" s="5" t="inlineStr"/>
      <c r="E32" s="5" t="inlineStr"/>
      <c r="F32" s="5" t="inlineStr"/>
      <c r="G32" s="5" t="inlineStr"/>
      <c r="H32" s="5" t="inlineStr"/>
      <c r="I32" s="6" t="inlineStr">
        <is>
          <t>expected · 20F (new, marked)</t>
        </is>
      </c>
      <c r="J32" s="6" t="inlineStr">
        <is>
          <t>expected · 20F (P.B 07/17→07/14)</t>
        </is>
      </c>
      <c r="K32" s="5" t="inlineStr">
        <is>
          <t>expected · 20F (ETA 07/13)</t>
        </is>
      </c>
      <c r="L32" s="5" t="inlineStr">
        <is>
          <t>alongside · 20F (ETD 09/13)</t>
        </is>
      </c>
      <c r="M32" s="5" t="inlineStr">
        <is>
          <t>alongside · 20F (ETD 09/13)</t>
        </is>
      </c>
      <c r="N32" s="5" t="inlineStr">
        <is>
          <t>sailed (09/13)</t>
        </is>
      </c>
      <c r="O32" s="5" t="inlineStr"/>
      <c r="P32" s="5" t="inlineStr"/>
      <c r="Q32" s="5" t="inlineStr"/>
      <c r="R32" s="5" t="inlineStr"/>
      <c r="S32" s="5" t="inlineStr"/>
      <c r="T32" s="5" t="inlineStr"/>
      <c r="U32" s="5" t="inlineStr"/>
      <c r="V32" s="5" t="inlineStr"/>
      <c r="W32" s="5" t="inlineStr"/>
      <c r="X32" s="5" t="inlineStr"/>
      <c r="Y32" s="5" t="inlineStr"/>
    </row>
    <row r="33">
      <c r="A33" s="4" t="inlineStr">
        <is>
          <t>SITC HOCHIMINH</t>
        </is>
      </c>
      <c r="B33" s="5" t="inlineStr"/>
      <c r="C33" s="5" t="inlineStr"/>
      <c r="D33" s="5" t="inlineStr"/>
      <c r="E33" s="5" t="inlineStr"/>
      <c r="F33" s="5" t="inlineStr"/>
      <c r="G33" s="5" t="inlineStr"/>
      <c r="H33" s="5" t="inlineStr"/>
      <c r="I33" s="5" t="inlineStr"/>
      <c r="J33" s="5" t="inlineStr">
        <is>
          <t>expected · 20AB (new)</t>
        </is>
      </c>
      <c r="K33" s="6" t="inlineStr">
        <is>
          <t>expected → 20B (ETA 07/19→07/18)</t>
        </is>
      </c>
      <c r="L33" s="6" t="inlineStr">
        <is>
          <t>at anchorage · 20B (ETA 07/18→07/15)</t>
        </is>
      </c>
      <c r="M33" s="5" t="inlineStr">
        <is>
          <t>alongside · 20B (ETD 09/17)</t>
        </is>
      </c>
      <c r="N33" s="5" t="inlineStr">
        <is>
          <t>sailed (09/17)</t>
        </is>
      </c>
      <c r="O33" s="5" t="inlineStr"/>
      <c r="P33" s="5" t="inlineStr"/>
      <c r="Q33" s="5" t="inlineStr"/>
      <c r="R33" s="5" t="inlineStr"/>
      <c r="S33" s="5" t="inlineStr"/>
      <c r="T33" s="5" t="inlineStr"/>
      <c r="U33" s="5" t="inlineStr"/>
      <c r="V33" s="5" t="inlineStr"/>
      <c r="W33" s="5" t="inlineStr"/>
      <c r="X33" s="5" t="inlineStr"/>
      <c r="Y33" s="5" t="inlineStr"/>
    </row>
    <row r="34">
      <c r="A34" s="4" t="inlineStr">
        <is>
          <t>YM INCEPTION</t>
        </is>
      </c>
      <c r="B34" s="5" t="inlineStr"/>
      <c r="C34" s="5" t="inlineStr"/>
      <c r="D34" s="5" t="inlineStr"/>
      <c r="E34" s="5" t="inlineStr"/>
      <c r="F34" s="5" t="inlineStr"/>
      <c r="G34" s="5" t="inlineStr"/>
      <c r="H34" s="5" t="inlineStr"/>
      <c r="I34" s="5" t="inlineStr"/>
      <c r="J34" s="5" t="inlineStr">
        <is>
          <t>expected · 20AB (new)</t>
        </is>
      </c>
      <c r="K34" s="6" t="inlineStr">
        <is>
          <t>expected → 20C (P.B 09/15→09/13, ETD 10/16→11/01)</t>
        </is>
      </c>
      <c r="L34" s="5" t="inlineStr">
        <is>
          <t>expected · 20C</t>
        </is>
      </c>
      <c r="M34" s="6" t="inlineStr">
        <is>
          <t>at anchorage · 20C (ETD 11/01→10/16)</t>
        </is>
      </c>
      <c r="N34" s="6" t="inlineStr">
        <is>
          <t>alongside · 20C (marked, ETD 10/16→10/14)</t>
        </is>
      </c>
      <c r="O34" s="5" t="inlineStr">
        <is>
          <t>sailed (10/14)</t>
        </is>
      </c>
      <c r="P34" s="5" t="inlineStr"/>
      <c r="Q34" s="5" t="inlineStr"/>
      <c r="R34" s="5" t="inlineStr"/>
      <c r="S34" s="5" t="inlineStr"/>
      <c r="T34" s="5" t="inlineStr"/>
      <c r="U34" s="5" t="inlineStr"/>
      <c r="V34" s="5" t="inlineStr"/>
      <c r="W34" s="5" t="inlineStr"/>
      <c r="X34" s="5" t="inlineStr"/>
      <c r="Y34" s="5" t="inlineStr"/>
    </row>
    <row r="35">
      <c r="A35" s="4" t="inlineStr">
        <is>
          <t>HE JIN</t>
        </is>
      </c>
      <c r="B35" s="5" t="inlineStr"/>
      <c r="C35" s="5" t="inlineStr"/>
      <c r="D35" s="5" t="inlineStr"/>
      <c r="E35" s="5" t="inlineStr"/>
      <c r="F35" s="5" t="inlineStr"/>
      <c r="G35" s="5" t="inlineStr"/>
      <c r="H35" s="5" t="inlineStr"/>
      <c r="I35" s="5" t="inlineStr"/>
      <c r="J35" s="5" t="inlineStr">
        <is>
          <t>expected · 20B (new)</t>
        </is>
      </c>
      <c r="K35" s="6" t="inlineStr">
        <is>
          <t>expected → 20AB</t>
        </is>
      </c>
      <c r="L35" s="6" t="inlineStr">
        <is>
          <t>at anchorage → 22A (shifts to 20D 09/02, ETD 10/13)</t>
        </is>
      </c>
      <c r="M35" s="6" t="inlineStr">
        <is>
          <t>alongside · 20D (shifted in from 22A, P.B 09/02→08/24)</t>
        </is>
      </c>
      <c r="N35" s="5" t="inlineStr">
        <is>
          <t>alongside · 20D (ETD 10/13)</t>
        </is>
      </c>
      <c r="O35" s="5" t="inlineStr">
        <is>
          <t>sailed (10/13)</t>
        </is>
      </c>
      <c r="P35" s="5" t="inlineStr"/>
      <c r="Q35" s="5" t="inlineStr"/>
      <c r="R35" s="5" t="inlineStr"/>
      <c r="S35" s="5" t="inlineStr"/>
      <c r="T35" s="5" t="inlineStr"/>
      <c r="U35" s="5" t="inlineStr"/>
      <c r="V35" s="5" t="inlineStr"/>
      <c r="W35" s="5" t="inlineStr"/>
      <c r="X35" s="5" t="inlineStr"/>
      <c r="Y35" s="5" t="inlineStr"/>
    </row>
    <row r="36">
      <c r="A36" s="4" t="inlineStr">
        <is>
          <t>ZHONG GU DONG HAI</t>
        </is>
      </c>
      <c r="B36" s="5" t="inlineStr"/>
      <c r="C36" s="5" t="inlineStr"/>
      <c r="D36" s="5" t="inlineStr"/>
      <c r="E36" s="5" t="inlineStr"/>
      <c r="F36" s="5" t="inlineStr"/>
      <c r="G36" s="5" t="inlineStr"/>
      <c r="H36" s="5" t="inlineStr"/>
      <c r="I36" s="5" t="inlineStr"/>
      <c r="J36" s="5" t="inlineStr">
        <is>
          <t>expected · 20C (new)</t>
        </is>
      </c>
      <c r="K36" s="6" t="inlineStr">
        <is>
          <t>expected · 20C (ETA 07/16→07/13)</t>
        </is>
      </c>
      <c r="L36" s="6" t="inlineStr">
        <is>
          <t>at anchorage · 20C (ETA 07/13→07/14)</t>
        </is>
      </c>
      <c r="M36" s="5" t="inlineStr">
        <is>
          <t>alongside · 20C (ETD 09/14)</t>
        </is>
      </c>
      <c r="N36" s="5" t="inlineStr">
        <is>
          <t>sailed (09/14)</t>
        </is>
      </c>
      <c r="O36" s="5" t="inlineStr"/>
      <c r="P36" s="5" t="inlineStr"/>
      <c r="Q36" s="5" t="inlineStr"/>
      <c r="R36" s="5" t="inlineStr"/>
      <c r="S36" s="5" t="inlineStr"/>
      <c r="T36" s="5" t="inlineStr"/>
      <c r="U36" s="5" t="inlineStr"/>
      <c r="V36" s="5" t="inlineStr"/>
      <c r="W36" s="5" t="inlineStr"/>
      <c r="X36" s="5" t="inlineStr"/>
      <c r="Y36" s="5" t="inlineStr"/>
    </row>
    <row r="37">
      <c r="A37" s="4" t="inlineStr">
        <is>
          <t>KANWAY FORTUNE</t>
        </is>
      </c>
      <c r="B37" s="5" t="inlineStr"/>
      <c r="C37" s="5" t="inlineStr"/>
      <c r="D37" s="5" t="inlineStr"/>
      <c r="E37" s="5" t="inlineStr"/>
      <c r="F37" s="5" t="inlineStr"/>
      <c r="G37" s="5" t="inlineStr"/>
      <c r="H37" s="5" t="inlineStr"/>
      <c r="I37" s="5" t="inlineStr"/>
      <c r="J37" s="5" t="inlineStr">
        <is>
          <t>expected · 20D (new)</t>
        </is>
      </c>
      <c r="K37" s="6" t="inlineStr">
        <is>
          <t>expected → 20F (P.B 09/15→09/14, ETD 11/03→10/15)</t>
        </is>
      </c>
      <c r="L37" s="6" t="inlineStr">
        <is>
          <t>expected → 20AB</t>
        </is>
      </c>
      <c r="M37" s="6" t="inlineStr">
        <is>
          <t>at anchorage · 20AB (ETA 08/18→08/16)</t>
        </is>
      </c>
      <c r="N37" s="5" t="inlineStr">
        <is>
          <t>alongside · 20AB (ETD 10/15)</t>
        </is>
      </c>
      <c r="O37" s="5" t="inlineStr">
        <is>
          <t>sailed (10/15)</t>
        </is>
      </c>
      <c r="P37" s="5" t="inlineStr"/>
      <c r="Q37" s="5" t="inlineStr"/>
      <c r="R37" s="5" t="inlineStr"/>
      <c r="S37" s="5" t="inlineStr"/>
      <c r="T37" s="5" t="inlineStr"/>
      <c r="U37" s="5" t="inlineStr"/>
      <c r="V37" s="5" t="inlineStr"/>
      <c r="W37" s="5" t="inlineStr"/>
      <c r="X37" s="5" t="inlineStr"/>
      <c r="Y37" s="5" t="inlineStr"/>
    </row>
    <row r="38">
      <c r="A38" s="4" t="inlineStr">
        <is>
          <t>CNC MARS</t>
        </is>
      </c>
      <c r="B38" s="5" t="inlineStr"/>
      <c r="C38" s="5" t="inlineStr"/>
      <c r="D38" s="5" t="inlineStr"/>
      <c r="E38" s="5" t="inlineStr"/>
      <c r="F38" s="5" t="inlineStr"/>
      <c r="G38" s="5" t="inlineStr"/>
      <c r="H38" s="5" t="inlineStr"/>
      <c r="I38" s="5" t="inlineStr"/>
      <c r="J38" s="5" t="inlineStr"/>
      <c r="K38" s="5" t="inlineStr">
        <is>
          <t>expected · 20AB (new)</t>
        </is>
      </c>
      <c r="L38" s="6" t="inlineStr">
        <is>
          <t>expected · 20AB (ETA 09/10→09/22, ETD 12/04→11/15)</t>
        </is>
      </c>
      <c r="M38" s="5" t="inlineStr">
        <is>
          <t>expected · 20AB</t>
        </is>
      </c>
      <c r="N38" s="5" t="inlineStr">
        <is>
          <t>at anchorage · 20AB (P.B 10/15)</t>
        </is>
      </c>
      <c r="O38" s="5" t="inlineStr">
        <is>
          <t>alongside · 20AB (ETD 11/15)</t>
        </is>
      </c>
      <c r="P38" s="5" t="inlineStr">
        <is>
          <t>sailed (11/15)</t>
        </is>
      </c>
      <c r="Q38" s="5" t="inlineStr"/>
      <c r="R38" s="5" t="inlineStr"/>
      <c r="S38" s="5" t="inlineStr"/>
      <c r="T38" s="5" t="inlineStr"/>
      <c r="U38" s="5" t="inlineStr"/>
      <c r="V38" s="5" t="inlineStr"/>
      <c r="W38" s="5" t="inlineStr"/>
      <c r="X38" s="5" t="inlineStr"/>
      <c r="Y38" s="5" t="inlineStr"/>
    </row>
    <row r="39">
      <c r="A39" s="4" t="inlineStr">
        <is>
          <t>INDURO</t>
        </is>
      </c>
      <c r="B39" s="5" t="inlineStr"/>
      <c r="C39" s="5" t="inlineStr"/>
      <c r="D39" s="5" t="inlineStr"/>
      <c r="E39" s="5" t="inlineStr"/>
      <c r="F39" s="5" t="inlineStr"/>
      <c r="G39" s="5" t="inlineStr"/>
      <c r="H39" s="5" t="inlineStr"/>
      <c r="I39" s="5" t="inlineStr"/>
      <c r="J39" s="5" t="inlineStr"/>
      <c r="K39" s="5" t="inlineStr">
        <is>
          <t>expected · 20B (new)</t>
        </is>
      </c>
      <c r="L39" s="6" t="inlineStr">
        <is>
          <t>expected · 20B (P.B 09/15→09/16, ETD 11/03→11/14)</t>
        </is>
      </c>
      <c r="M39" s="6" t="inlineStr">
        <is>
          <t>at anchorage · 20B (ETA 09/09→09/06)</t>
        </is>
      </c>
      <c r="N39" s="6" t="inlineStr">
        <is>
          <t>alongside · 20B (ETD 11/14→11/04)</t>
        </is>
      </c>
      <c r="O39" s="5" t="inlineStr">
        <is>
          <t>sailed (11/04)</t>
        </is>
      </c>
      <c r="P39" s="5" t="inlineStr"/>
      <c r="Q39" s="5" t="inlineStr"/>
      <c r="R39" s="5" t="inlineStr"/>
      <c r="S39" s="5" t="inlineStr"/>
      <c r="T39" s="5" t="inlineStr"/>
      <c r="U39" s="5" t="inlineStr"/>
      <c r="V39" s="5" t="inlineStr"/>
      <c r="W39" s="5" t="inlineStr"/>
      <c r="X39" s="5" t="inlineStr"/>
      <c r="Y39" s="5" t="inlineStr"/>
    </row>
    <row r="40">
      <c r="A40" s="4" t="inlineStr">
        <is>
          <t>CUL HAIPHONG</t>
        </is>
      </c>
      <c r="B40" s="5" t="inlineStr"/>
      <c r="C40" s="5" t="inlineStr"/>
      <c r="D40" s="5" t="inlineStr"/>
      <c r="E40" s="5" t="inlineStr"/>
      <c r="F40" s="5" t="inlineStr"/>
      <c r="G40" s="5" t="inlineStr"/>
      <c r="H40" s="5" t="inlineStr"/>
      <c r="I40" s="5" t="inlineStr"/>
      <c r="J40" s="5" t="inlineStr"/>
      <c r="K40" s="5" t="inlineStr">
        <is>
          <t>expected · 20B (new, shift 4A)</t>
        </is>
      </c>
      <c r="L40" s="6" t="inlineStr">
        <is>
          <t>expected → 20D (shift 4A, ETA 09/20)</t>
        </is>
      </c>
      <c r="M40" s="5" t="inlineStr">
        <is>
          <t>expected · 20D (ETA 09/20)</t>
        </is>
      </c>
      <c r="N40" s="5" t="inlineStr">
        <is>
          <t>at anchorage · 20D (P.B 10/16)</t>
        </is>
      </c>
      <c r="O40" s="5" t="inlineStr">
        <is>
          <t>sailed (11/06)</t>
        </is>
      </c>
      <c r="P40" s="5" t="inlineStr"/>
      <c r="Q40" s="5" t="inlineStr"/>
      <c r="R40" s="5" t="inlineStr"/>
      <c r="S40" s="5" t="inlineStr"/>
      <c r="T40" s="5" t="inlineStr"/>
      <c r="U40" s="5" t="inlineStr"/>
      <c r="V40" s="5" t="inlineStr"/>
      <c r="W40" s="5" t="inlineStr"/>
      <c r="X40" s="5" t="inlineStr"/>
      <c r="Y40" s="5" t="inlineStr"/>
    </row>
    <row r="41">
      <c r="A41" s="4" t="inlineStr">
        <is>
          <t>XIN MING ZHOU 102</t>
        </is>
      </c>
      <c r="B41" s="5" t="inlineStr"/>
      <c r="C41" s="5" t="inlineStr"/>
      <c r="D41" s="5" t="inlineStr"/>
      <c r="E41" s="5" t="inlineStr"/>
      <c r="F41" s="5" t="inlineStr"/>
      <c r="G41" s="5" t="inlineStr"/>
      <c r="H41" s="5" t="inlineStr"/>
      <c r="I41" s="5" t="inlineStr"/>
      <c r="J41" s="5" t="inlineStr"/>
      <c r="K41" s="5" t="inlineStr">
        <is>
          <t>expected · 20F (new)</t>
        </is>
      </c>
      <c r="L41" s="6" t="inlineStr">
        <is>
          <t>expected · 20F (ETA 09/13→10/21, ETD 11/03→12/02)</t>
        </is>
      </c>
      <c r="M41" s="5" t="inlineStr">
        <is>
          <t>expected · 20F</t>
        </is>
      </c>
      <c r="N41" s="6" t="inlineStr">
        <is>
          <t>expected → 20B (marked)</t>
        </is>
      </c>
      <c r="O41" s="5" t="inlineStr">
        <is>
          <t>alongside · 20B (ETD 12/02)</t>
        </is>
      </c>
      <c r="P41" s="5" t="inlineStr">
        <is>
          <t>sailed (12/02)</t>
        </is>
      </c>
      <c r="Q41" s="5" t="inlineStr"/>
      <c r="R41" s="5" t="inlineStr"/>
      <c r="S41" s="5" t="inlineStr"/>
      <c r="T41" s="5" t="inlineStr"/>
      <c r="U41" s="5" t="inlineStr"/>
      <c r="V41" s="5" t="inlineStr"/>
      <c r="W41" s="5" t="inlineStr"/>
      <c r="X41" s="5" t="inlineStr"/>
      <c r="Y41" s="5" t="inlineStr"/>
    </row>
    <row r="42">
      <c r="A42" s="4" t="inlineStr">
        <is>
          <t>STARSHIP AQUILA</t>
        </is>
      </c>
      <c r="B42" s="5" t="inlineStr"/>
      <c r="C42" s="5" t="inlineStr"/>
      <c r="D42" s="5" t="inlineStr"/>
      <c r="E42" s="5" t="inlineStr"/>
      <c r="F42" s="5" t="inlineStr"/>
      <c r="G42" s="5" t="inlineStr"/>
      <c r="H42" s="5" t="inlineStr"/>
      <c r="I42" s="5" t="inlineStr"/>
      <c r="J42" s="5" t="inlineStr"/>
      <c r="K42" s="5" t="inlineStr"/>
      <c r="L42" s="5" t="inlineStr">
        <is>
          <t>expected · 20C (new)</t>
        </is>
      </c>
      <c r="M42" s="6" t="inlineStr">
        <is>
          <t>expected · 20C (P.B 11/04→10/16, ETD 12/13→12/05)</t>
        </is>
      </c>
      <c r="N42" s="6" t="inlineStr">
        <is>
          <t>at anchorage · 20C (marked, P.B 10/16→10/14, ETD 12/05→12/02)</t>
        </is>
      </c>
      <c r="O42" s="5" t="inlineStr">
        <is>
          <t>alongside · 20C (ETD 12/02)</t>
        </is>
      </c>
      <c r="P42" s="5" t="inlineStr">
        <is>
          <t>sailed (12/02)</t>
        </is>
      </c>
      <c r="Q42" s="5" t="inlineStr"/>
      <c r="R42" s="5" t="inlineStr"/>
      <c r="S42" s="5" t="inlineStr"/>
      <c r="T42" s="5" t="inlineStr"/>
      <c r="U42" s="5" t="inlineStr"/>
      <c r="V42" s="5" t="inlineStr"/>
      <c r="W42" s="5" t="inlineStr"/>
      <c r="X42" s="5" t="inlineStr"/>
      <c r="Y42" s="5" t="inlineStr"/>
    </row>
    <row r="43">
      <c r="A43" s="4" t="inlineStr">
        <is>
          <t>INCEDA</t>
        </is>
      </c>
      <c r="B43" s="5" t="inlineStr"/>
      <c r="C43" s="5" t="inlineStr"/>
      <c r="D43" s="5" t="inlineStr"/>
      <c r="E43" s="5" t="inlineStr"/>
      <c r="F43" s="5" t="inlineStr"/>
      <c r="G43" s="5" t="inlineStr"/>
      <c r="H43" s="5" t="inlineStr"/>
      <c r="I43" s="5" t="inlineStr"/>
      <c r="J43" s="5" t="inlineStr"/>
      <c r="K43" s="5" t="inlineStr"/>
      <c r="L43" s="5" t="inlineStr">
        <is>
          <t>expected · 20D (new)</t>
        </is>
      </c>
      <c r="M43" s="5" t="inlineStr">
        <is>
          <t>expected · 20D</t>
        </is>
      </c>
      <c r="N43" s="5" t="inlineStr">
        <is>
          <t>expected · 20D</t>
        </is>
      </c>
      <c r="O43" s="6" t="inlineStr">
        <is>
          <t>alongside · 20D (P.B 11/05→11/06)</t>
        </is>
      </c>
      <c r="P43" s="5" t="inlineStr">
        <is>
          <t>alongside · 20D (ETD 12/14)</t>
        </is>
      </c>
      <c r="Q43" s="5" t="inlineStr">
        <is>
          <t>sailed (12/14)</t>
        </is>
      </c>
      <c r="R43" s="5" t="inlineStr"/>
      <c r="S43" s="5" t="inlineStr"/>
      <c r="T43" s="5" t="inlineStr"/>
      <c r="U43" s="5" t="inlineStr"/>
      <c r="V43" s="5" t="inlineStr"/>
      <c r="W43" s="5" t="inlineStr"/>
      <c r="X43" s="5" t="inlineStr"/>
      <c r="Y43" s="5" t="inlineStr"/>
    </row>
    <row r="44">
      <c r="A44" s="4" t="inlineStr">
        <is>
          <t>SAMAL</t>
        </is>
      </c>
      <c r="B44" s="5" t="inlineStr"/>
      <c r="C44" s="5" t="inlineStr"/>
      <c r="D44" s="5" t="inlineStr"/>
      <c r="E44" s="5" t="inlineStr"/>
      <c r="F44" s="5" t="inlineStr"/>
      <c r="G44" s="5" t="inlineStr"/>
      <c r="H44" s="5" t="inlineStr"/>
      <c r="I44" s="5" t="inlineStr"/>
      <c r="J44" s="5" t="inlineStr"/>
      <c r="K44" s="5" t="inlineStr"/>
      <c r="L44" s="5" t="inlineStr"/>
      <c r="M44" s="5" t="inlineStr">
        <is>
          <t>expected · 20AB (new)</t>
        </is>
      </c>
      <c r="N44" s="6" t="inlineStr">
        <is>
          <t>expected → 20F (marked, ETA 12/04→12/01, P.B 12/05→12/06)</t>
        </is>
      </c>
      <c r="O44" s="6" t="inlineStr">
        <is>
          <t>expected → 20AB (ETA 12/01→12/09, P.B 12/06→12/16, ETD 13/14→14/05)</t>
        </is>
      </c>
      <c r="P44" s="6" t="inlineStr">
        <is>
          <t>at anchorage · 20AB (ETA 12/09→12/08)</t>
        </is>
      </c>
      <c r="Q44" s="6" t="inlineStr">
        <is>
          <t>alongside · 20AB (ETA 12/08→12/09, ETD 14/05)</t>
        </is>
      </c>
      <c r="R44" s="5" t="inlineStr">
        <is>
          <t>sailed (14/05)</t>
        </is>
      </c>
      <c r="S44" s="5" t="inlineStr"/>
      <c r="T44" s="5" t="inlineStr"/>
      <c r="U44" s="5" t="inlineStr"/>
      <c r="V44" s="5" t="inlineStr"/>
      <c r="W44" s="5" t="inlineStr"/>
      <c r="X44" s="5" t="inlineStr"/>
      <c r="Y44" s="5" t="inlineStr"/>
    </row>
    <row r="45">
      <c r="A45" s="4" t="inlineStr">
        <is>
          <t>JOSCO SHINE</t>
        </is>
      </c>
      <c r="B45" s="5" t="inlineStr"/>
      <c r="C45" s="5" t="inlineStr"/>
      <c r="D45" s="5" t="inlineStr"/>
      <c r="E45" s="5" t="inlineStr"/>
      <c r="F45" s="5" t="inlineStr"/>
      <c r="G45" s="5" t="inlineStr"/>
      <c r="H45" s="5" t="inlineStr"/>
      <c r="I45" s="5" t="inlineStr"/>
      <c r="J45" s="5" t="inlineStr"/>
      <c r="K45" s="5" t="inlineStr"/>
      <c r="L45" s="5" t="inlineStr"/>
      <c r="M45" s="5" t="inlineStr">
        <is>
          <t>expected · 20B (new)</t>
        </is>
      </c>
      <c r="N45" s="6" t="inlineStr">
        <is>
          <t>expected → 20AB (ETA 11/17→12/13, P.B 11/17→12/16)</t>
        </is>
      </c>
      <c r="O45" s="6" t="inlineStr">
        <is>
          <t>expected → 20F (marked, ETA 12/13→12/09, P.B 12/16→12/15, ETD 13/14→13/06)</t>
        </is>
      </c>
      <c r="P45" s="6" t="inlineStr">
        <is>
          <t>expected · 20F (ETA 12/09→12/11)</t>
        </is>
      </c>
      <c r="Q45" s="5" t="inlineStr">
        <is>
          <t>sailed (13/06)</t>
        </is>
      </c>
      <c r="R45" s="5" t="inlineStr"/>
      <c r="S45" s="5" t="inlineStr"/>
      <c r="T45" s="5" t="inlineStr"/>
      <c r="U45" s="5" t="inlineStr"/>
      <c r="V45" s="5" t="inlineStr"/>
      <c r="W45" s="5" t="inlineStr"/>
      <c r="X45" s="5" t="inlineStr"/>
      <c r="Y45" s="5" t="inlineStr"/>
    </row>
    <row r="46">
      <c r="A46" s="4" t="inlineStr">
        <is>
          <t>KMTC TAIPEIS</t>
        </is>
      </c>
      <c r="B46" s="5" t="inlineStr"/>
      <c r="C46" s="5" t="inlineStr"/>
      <c r="D46" s="5" t="inlineStr"/>
      <c r="E46" s="5" t="inlineStr"/>
      <c r="F46" s="5" t="inlineStr"/>
      <c r="G46" s="5" t="inlineStr"/>
      <c r="H46" s="5" t="inlineStr"/>
      <c r="I46" s="5" t="inlineStr"/>
      <c r="J46" s="5" t="inlineStr"/>
      <c r="K46" s="5" t="inlineStr"/>
      <c r="L46" s="5" t="inlineStr"/>
      <c r="M46" s="5" t="inlineStr">
        <is>
          <t>expected · 20D (new)</t>
        </is>
      </c>
      <c r="N46" s="6" t="inlineStr">
        <is>
          <t>expected → 20C</t>
        </is>
      </c>
      <c r="O46" s="6" t="inlineStr">
        <is>
          <t>expected · 20C (ETA 12/23→13/01)</t>
        </is>
      </c>
      <c r="P46" s="6" t="inlineStr">
        <is>
          <t>expected → 20AB (P.B 13/05→14/05, ETD 14/15→15/15)</t>
        </is>
      </c>
      <c r="Q46" s="6" t="inlineStr">
        <is>
          <t>at anchorage · 20AB (ETA 13/01→13/02)</t>
        </is>
      </c>
      <c r="R46" s="6" t="inlineStr">
        <is>
          <t>alongside · 20AB (P.B 14/05, ETD 15/15→15/08)</t>
        </is>
      </c>
      <c r="S46" s="5" t="inlineStr">
        <is>
          <t>sailed (15/08)</t>
        </is>
      </c>
      <c r="T46" s="5" t="inlineStr"/>
      <c r="U46" s="5" t="inlineStr"/>
      <c r="V46" s="5" t="inlineStr"/>
      <c r="W46" s="5" t="inlineStr"/>
      <c r="X46" s="5" t="inlineStr"/>
      <c r="Y46" s="5" t="inlineStr"/>
    </row>
    <row r="47">
      <c r="A47" s="4" t="inlineStr">
        <is>
          <t>SAWASDEE SUNRISE</t>
        </is>
      </c>
      <c r="B47" s="5" t="inlineStr"/>
      <c r="C47" s="5" t="inlineStr"/>
      <c r="D47" s="5" t="inlineStr"/>
      <c r="E47" s="5" t="inlineStr"/>
      <c r="F47" s="5" t="inlineStr"/>
      <c r="G47" s="5" t="inlineStr"/>
      <c r="H47" s="5" t="inlineStr"/>
      <c r="I47" s="5" t="inlineStr"/>
      <c r="J47" s="5" t="inlineStr"/>
      <c r="K47" s="5" t="inlineStr"/>
      <c r="L47" s="5" t="inlineStr"/>
      <c r="M47" s="5" t="inlineStr">
        <is>
          <t>expected · 20F (new)</t>
        </is>
      </c>
      <c r="N47" s="6" t="inlineStr">
        <is>
          <t>expected → 20D (ETA 12/05→12/09, P.B 12/05→12/16, ETD 13/15→14/05)</t>
        </is>
      </c>
      <c r="O47" s="5" t="inlineStr">
        <is>
          <t>expected · 20D</t>
        </is>
      </c>
      <c r="P47" s="6" t="inlineStr">
        <is>
          <t>at anchorage · 20D (ETA 12/09→12/04)</t>
        </is>
      </c>
      <c r="Q47" s="5" t="inlineStr">
        <is>
          <t>alongside · 20D (P.B 12/16, ETD 14/05)</t>
        </is>
      </c>
      <c r="R47" s="5" t="inlineStr">
        <is>
          <t>sailed (14/05)</t>
        </is>
      </c>
      <c r="S47" s="5" t="inlineStr"/>
      <c r="T47" s="5" t="inlineStr"/>
      <c r="U47" s="5" t="inlineStr"/>
      <c r="V47" s="5" t="inlineStr"/>
      <c r="W47" s="5" t="inlineStr"/>
      <c r="X47" s="5" t="inlineStr"/>
      <c r="Y47" s="5" t="inlineStr"/>
    </row>
    <row r="48">
      <c r="A48" s="4" t="inlineStr">
        <is>
          <t>KHUNA BHUM</t>
        </is>
      </c>
      <c r="B48" s="5" t="inlineStr"/>
      <c r="C48" s="5" t="inlineStr"/>
      <c r="D48" s="5" t="inlineStr"/>
      <c r="E48" s="5" t="inlineStr"/>
      <c r="F48" s="5" t="inlineStr"/>
      <c r="G48" s="5" t="inlineStr"/>
      <c r="H48" s="5" t="inlineStr"/>
      <c r="I48" s="5" t="inlineStr"/>
      <c r="J48" s="5" t="inlineStr"/>
      <c r="K48" s="5" t="inlineStr"/>
      <c r="L48" s="5" t="inlineStr"/>
      <c r="M48" s="5" t="inlineStr"/>
      <c r="N48" s="5" t="inlineStr">
        <is>
          <t>expected · 20AB (new, shift 7B)</t>
        </is>
      </c>
      <c r="O48" s="6" t="inlineStr">
        <is>
          <t>expected → 20D (marked, shift 7B; P.B 13/13→14/05, ETD 14/07→14/22)</t>
        </is>
      </c>
      <c r="P48" s="5" t="inlineStr">
        <is>
          <t>expected · 20D (shift 7B)</t>
        </is>
      </c>
      <c r="Q48" s="6" t="inlineStr">
        <is>
          <t>expected · 20D (ETA 13/07→13/11, shift 7B)</t>
        </is>
      </c>
      <c r="R48" s="5" t="inlineStr">
        <is>
          <t>alongside · 20D (7B)</t>
        </is>
      </c>
      <c r="S48" s="5" t="inlineStr">
        <is>
          <t>sailed (14/22)</t>
        </is>
      </c>
      <c r="T48" s="5" t="inlineStr"/>
      <c r="U48" s="5" t="inlineStr"/>
      <c r="V48" s="5" t="inlineStr"/>
      <c r="W48" s="5" t="inlineStr"/>
      <c r="X48" s="5" t="inlineStr"/>
      <c r="Y48" s="5" t="inlineStr"/>
    </row>
    <row r="49">
      <c r="A49" s="4" t="inlineStr">
        <is>
          <t>WAN HAI 277</t>
        </is>
      </c>
      <c r="B49" s="5" t="inlineStr"/>
      <c r="C49" s="5" t="inlineStr"/>
      <c r="D49" s="5" t="inlineStr"/>
      <c r="E49" s="5" t="inlineStr"/>
      <c r="F49" s="5" t="inlineStr"/>
      <c r="G49" s="5" t="inlineStr"/>
      <c r="H49" s="5" t="inlineStr"/>
      <c r="I49" s="5" t="inlineStr"/>
      <c r="J49" s="5" t="inlineStr"/>
      <c r="K49" s="5" t="inlineStr"/>
      <c r="L49" s="5" t="inlineStr"/>
      <c r="M49" s="5" t="inlineStr"/>
      <c r="N49" s="6" t="inlineStr">
        <is>
          <t>expected · 20F (new, marked)</t>
        </is>
      </c>
      <c r="O49" s="6" t="inlineStr">
        <is>
          <t>expected → 20B (marked, ETA 13/04→12/23, P.B 13/16→13/06, ETD 15/05→14/15)</t>
        </is>
      </c>
      <c r="P49" s="6" t="inlineStr">
        <is>
          <t>expected → 20C (ETA 12/23→12/21)</t>
        </is>
      </c>
      <c r="Q49" s="5" t="inlineStr">
        <is>
          <t>alongside · 20C (P.B 13/06, ETD 14/15)</t>
        </is>
      </c>
      <c r="R49" s="6" t="inlineStr">
        <is>
          <t>alongside · 20C (ETD 14/15→14/16)</t>
        </is>
      </c>
      <c r="S49" s="5" t="inlineStr">
        <is>
          <t>sailed (14/16)</t>
        </is>
      </c>
      <c r="T49" s="5" t="inlineStr"/>
      <c r="U49" s="5" t="inlineStr"/>
      <c r="V49" s="5" t="inlineStr"/>
      <c r="W49" s="5" t="inlineStr"/>
      <c r="X49" s="5" t="inlineStr"/>
      <c r="Y49" s="5" t="inlineStr"/>
    </row>
    <row r="50">
      <c r="A50" s="4" t="inlineStr">
        <is>
          <t>CEBU</t>
        </is>
      </c>
      <c r="B50" s="5" t="inlineStr"/>
      <c r="C50" s="5" t="inlineStr"/>
      <c r="D50" s="5" t="inlineStr"/>
      <c r="E50" s="5" t="inlineStr"/>
      <c r="F50" s="5" t="inlineStr"/>
      <c r="G50" s="5" t="inlineStr"/>
      <c r="H50" s="5" t="inlineStr"/>
      <c r="I50" s="5" t="inlineStr"/>
      <c r="J50" s="5" t="inlineStr"/>
      <c r="K50" s="5" t="inlineStr"/>
      <c r="L50" s="5" t="inlineStr"/>
      <c r="M50" s="5" t="inlineStr"/>
      <c r="N50" s="5" t="inlineStr"/>
      <c r="O50" s="6" t="inlineStr">
        <is>
          <t>expected · 20AB (new, marked)</t>
        </is>
      </c>
      <c r="P50" s="6" t="inlineStr">
        <is>
          <t>expected → 20B (ETA 12/24→12/22, P.B 14/06→13/06, ETD 15/16→14/16)</t>
        </is>
      </c>
      <c r="Q50" s="5" t="inlineStr">
        <is>
          <t>alongside · 20B (ETD 14/16)</t>
        </is>
      </c>
      <c r="R50" s="6" t="inlineStr">
        <is>
          <t>alongside · 20B (ETD 14/16→14/13)</t>
        </is>
      </c>
      <c r="S50" s="5" t="inlineStr">
        <is>
          <t>sailed (14/13)</t>
        </is>
      </c>
      <c r="T50" s="5" t="inlineStr"/>
      <c r="U50" s="5" t="inlineStr"/>
      <c r="V50" s="5" t="inlineStr"/>
      <c r="W50" s="5" t="inlineStr"/>
      <c r="X50" s="5" t="inlineStr"/>
      <c r="Y50" s="5" t="inlineStr"/>
    </row>
    <row r="51">
      <c r="A51" s="4" t="inlineStr">
        <is>
          <t>WAN HAI 173</t>
        </is>
      </c>
      <c r="B51" s="5" t="inlineStr"/>
      <c r="C51" s="5" t="inlineStr"/>
      <c r="D51" s="5" t="inlineStr"/>
      <c r="E51" s="5" t="inlineStr"/>
      <c r="F51" s="5" t="inlineStr"/>
      <c r="G51" s="5" t="inlineStr"/>
      <c r="H51" s="5" t="inlineStr"/>
      <c r="I51" s="5" t="inlineStr"/>
      <c r="J51" s="5" t="inlineStr"/>
      <c r="K51" s="5" t="inlineStr"/>
      <c r="L51" s="5" t="inlineStr"/>
      <c r="M51" s="5" t="inlineStr"/>
      <c r="N51" s="5" t="inlineStr"/>
      <c r="O51" s="5" t="inlineStr"/>
      <c r="P51" s="5" t="inlineStr">
        <is>
          <t>expected · 20B (new)</t>
        </is>
      </c>
      <c r="Q51" s="6" t="inlineStr">
        <is>
          <t>expected · 20B (ETA 14/08→14/01)</t>
        </is>
      </c>
      <c r="R51" s="6" t="inlineStr">
        <is>
          <t>at anchorage → 20C</t>
        </is>
      </c>
      <c r="S51" s="5" t="inlineStr">
        <is>
          <t>sailed (15/07)</t>
        </is>
      </c>
      <c r="T51" s="5" t="inlineStr"/>
      <c r="U51" s="5" t="inlineStr"/>
      <c r="V51" s="5" t="inlineStr"/>
      <c r="W51" s="5" t="inlineStr"/>
      <c r="X51" s="5" t="inlineStr"/>
      <c r="Y51" s="5" t="inlineStr"/>
    </row>
    <row r="52">
      <c r="A52" s="4" t="inlineStr">
        <is>
          <t>SAWASDEE INCHEON</t>
        </is>
      </c>
      <c r="B52" s="5" t="inlineStr"/>
      <c r="C52" s="5" t="inlineStr"/>
      <c r="D52" s="5" t="inlineStr"/>
      <c r="E52" s="5" t="inlineStr"/>
      <c r="F52" s="5" t="inlineStr"/>
      <c r="G52" s="5" t="inlineStr"/>
      <c r="H52" s="5" t="inlineStr"/>
      <c r="I52" s="5" t="inlineStr"/>
      <c r="J52" s="5" t="inlineStr"/>
      <c r="K52" s="5" t="inlineStr"/>
      <c r="L52" s="5" t="inlineStr"/>
      <c r="M52" s="5" t="inlineStr"/>
      <c r="N52" s="5" t="inlineStr"/>
      <c r="O52" s="5" t="inlineStr"/>
      <c r="P52" s="5" t="inlineStr">
        <is>
          <t>expected · 20F (new)</t>
        </is>
      </c>
      <c r="Q52" s="5" t="inlineStr">
        <is>
          <t>expected · 20F (ETA 13/15)</t>
        </is>
      </c>
      <c r="R52" s="6" t="inlineStr">
        <is>
          <t>alongside · 20F (ETD 15/15→16/06)</t>
        </is>
      </c>
      <c r="S52" s="5" t="inlineStr">
        <is>
          <t>alongside · 20F (ETD 16/06)</t>
        </is>
      </c>
      <c r="T52" s="5" t="inlineStr">
        <is>
          <t>sailed (16/06)</t>
        </is>
      </c>
      <c r="U52" s="5" t="inlineStr"/>
      <c r="V52" s="5" t="inlineStr"/>
      <c r="W52" s="5" t="inlineStr"/>
      <c r="X52" s="5" t="inlineStr"/>
      <c r="Y52" s="5" t="inlineStr"/>
    </row>
    <row r="53">
      <c r="A53" s="4" t="inlineStr">
        <is>
          <t>WAN HAI 176</t>
        </is>
      </c>
      <c r="B53" s="5" t="inlineStr"/>
      <c r="C53" s="5" t="inlineStr"/>
      <c r="D53" s="5" t="inlineStr"/>
      <c r="E53" s="5" t="inlineStr"/>
      <c r="F53" s="5" t="inlineStr"/>
      <c r="G53" s="5" t="inlineStr"/>
      <c r="H53" s="5" t="inlineStr"/>
      <c r="I53" s="5" t="inlineStr"/>
      <c r="J53" s="5" t="inlineStr"/>
      <c r="K53" s="5" t="inlineStr"/>
      <c r="L53" s="5" t="inlineStr"/>
      <c r="M53" s="5" t="inlineStr"/>
      <c r="N53" s="5" t="inlineStr"/>
      <c r="O53" s="5" t="inlineStr"/>
      <c r="P53" s="5" t="inlineStr"/>
      <c r="Q53" s="5" t="inlineStr">
        <is>
          <t>expected · 20B (new)</t>
        </is>
      </c>
      <c r="R53" s="6" t="inlineStr">
        <is>
          <t>expected → 20AB</t>
        </is>
      </c>
      <c r="S53" s="6" t="inlineStr">
        <is>
          <t>alongside · 20AB (ETA 15/11→15/08, P.B 15/11→15/09)</t>
        </is>
      </c>
      <c r="T53" s="5" t="inlineStr">
        <is>
          <t>alongside · 20AB (ETD 16/16)</t>
        </is>
      </c>
      <c r="U53" s="5" t="inlineStr">
        <is>
          <t>sailed (16/16)</t>
        </is>
      </c>
      <c r="V53" s="5" t="inlineStr"/>
      <c r="W53" s="5" t="inlineStr"/>
      <c r="X53" s="5" t="inlineStr"/>
      <c r="Y53" s="5" t="inlineStr"/>
    </row>
    <row r="54">
      <c r="A54" s="4" t="inlineStr">
        <is>
          <t>WAN HAI 175</t>
        </is>
      </c>
      <c r="B54" s="5" t="inlineStr"/>
      <c r="C54" s="5" t="inlineStr"/>
      <c r="D54" s="5" t="inlineStr"/>
      <c r="E54" s="5" t="inlineStr"/>
      <c r="F54" s="5" t="inlineStr"/>
      <c r="G54" s="5" t="inlineStr"/>
      <c r="H54" s="5" t="inlineStr"/>
      <c r="I54" s="5" t="inlineStr"/>
      <c r="J54" s="5" t="inlineStr"/>
      <c r="K54" s="5" t="inlineStr"/>
      <c r="L54" s="5" t="inlineStr"/>
      <c r="M54" s="5" t="inlineStr"/>
      <c r="N54" s="5" t="inlineStr"/>
      <c r="O54" s="5" t="inlineStr"/>
      <c r="P54" s="5" t="inlineStr"/>
      <c r="Q54" s="5" t="inlineStr">
        <is>
          <t>expected · 20D (new)</t>
        </is>
      </c>
      <c r="R54" s="6" t="inlineStr">
        <is>
          <t>expected → 20C (ETA 15/01→14/23, ETD 16/17→16/15)</t>
        </is>
      </c>
      <c r="S54" s="6" t="inlineStr">
        <is>
          <t>alongside · 20C (ETA 14/23→14/21)</t>
        </is>
      </c>
      <c r="T54" s="5" t="inlineStr">
        <is>
          <t>alongside · 20C (ETD 16/15)</t>
        </is>
      </c>
      <c r="U54" s="5" t="inlineStr">
        <is>
          <t>sailed (16/15)</t>
        </is>
      </c>
      <c r="V54" s="5" t="inlineStr"/>
      <c r="W54" s="5" t="inlineStr"/>
      <c r="X54" s="5" t="inlineStr"/>
      <c r="Y54" s="5" t="inlineStr"/>
    </row>
    <row r="55">
      <c r="A55" s="4" t="inlineStr">
        <is>
          <t>SITC DALIAN</t>
        </is>
      </c>
      <c r="B55" s="5" t="inlineStr"/>
      <c r="C55" s="5" t="inlineStr"/>
      <c r="D55" s="5" t="inlineStr"/>
      <c r="E55" s="5" t="inlineStr"/>
      <c r="F55" s="5" t="inlineStr"/>
      <c r="G55" s="5" t="inlineStr"/>
      <c r="H55" s="5" t="inlineStr"/>
      <c r="I55" s="5" t="inlineStr"/>
      <c r="J55" s="5" t="inlineStr"/>
      <c r="K55" s="5" t="inlineStr"/>
      <c r="L55" s="5" t="inlineStr"/>
      <c r="M55" s="5" t="inlineStr"/>
      <c r="N55" s="5" t="inlineStr"/>
      <c r="O55" s="5" t="inlineStr"/>
      <c r="P55" s="5" t="inlineStr"/>
      <c r="Q55" s="5" t="inlineStr"/>
      <c r="R55" s="5" t="inlineStr">
        <is>
          <t>expected · 20D (new)</t>
        </is>
      </c>
      <c r="S55" s="5" t="inlineStr">
        <is>
          <t>alongside · 20D (P.B 15/05)</t>
        </is>
      </c>
      <c r="T55" s="5" t="inlineStr">
        <is>
          <t>sailed (16/06)</t>
        </is>
      </c>
      <c r="U55" s="5" t="inlineStr"/>
      <c r="V55" s="5" t="inlineStr"/>
      <c r="W55" s="5" t="inlineStr"/>
      <c r="X55" s="5" t="inlineStr"/>
      <c r="Y55" s="5" t="inlineStr"/>
    </row>
    <row r="56">
      <c r="A56" s="4" t="inlineStr">
        <is>
          <t>WAN HAI 172</t>
        </is>
      </c>
      <c r="B56" s="5" t="inlineStr"/>
      <c r="C56" s="5" t="inlineStr"/>
      <c r="D56" s="5" t="inlineStr"/>
      <c r="E56" s="5" t="inlineStr"/>
      <c r="F56" s="5" t="inlineStr"/>
      <c r="G56" s="5" t="inlineStr"/>
      <c r="H56" s="5" t="inlineStr"/>
      <c r="I56" s="5" t="inlineStr"/>
      <c r="J56" s="5" t="inlineStr"/>
      <c r="K56" s="5" t="inlineStr"/>
      <c r="L56" s="5" t="inlineStr"/>
      <c r="M56" s="5" t="inlineStr"/>
      <c r="N56" s="5" t="inlineStr"/>
      <c r="O56" s="5" t="inlineStr"/>
      <c r="P56" s="5" t="inlineStr"/>
      <c r="Q56" s="5" t="inlineStr"/>
      <c r="R56" s="5" t="inlineStr">
        <is>
          <t>expected · 20D (new)</t>
        </is>
      </c>
      <c r="S56" s="5" t="inlineStr">
        <is>
          <t>expected · 20D</t>
        </is>
      </c>
      <c r="T56" s="6" t="inlineStr">
        <is>
          <t>alongside · 20D (ETD 17/15→17/08)</t>
        </is>
      </c>
      <c r="U56" s="5" t="inlineStr">
        <is>
          <t>sailed (17/08)</t>
        </is>
      </c>
      <c r="V56" s="5" t="inlineStr"/>
      <c r="W56" s="5" t="inlineStr"/>
      <c r="X56" s="5" t="inlineStr"/>
      <c r="Y56" s="5" t="inlineStr"/>
    </row>
    <row r="57">
      <c r="A57" s="4" t="inlineStr">
        <is>
          <t>LITTLE DOLPHIN</t>
        </is>
      </c>
      <c r="B57" s="5" t="inlineStr"/>
      <c r="C57" s="5" t="inlineStr"/>
      <c r="D57" s="5" t="inlineStr"/>
      <c r="E57" s="5" t="inlineStr"/>
      <c r="F57" s="5" t="inlineStr"/>
      <c r="G57" s="5" t="inlineStr"/>
      <c r="H57" s="5" t="inlineStr"/>
      <c r="I57" s="5" t="inlineStr"/>
      <c r="J57" s="5" t="inlineStr"/>
      <c r="K57" s="5" t="inlineStr"/>
      <c r="L57" s="5" t="inlineStr"/>
      <c r="M57" s="5" t="inlineStr"/>
      <c r="N57" s="5" t="inlineStr"/>
      <c r="O57" s="5" t="inlineStr"/>
      <c r="P57" s="5" t="inlineStr"/>
      <c r="Q57" s="5" t="inlineStr"/>
      <c r="R57" s="5" t="inlineStr">
        <is>
          <t>listed at 20F without times (new, schedule TBA)</t>
        </is>
      </c>
      <c r="S57" s="6" t="inlineStr">
        <is>
          <t>expected → 20B (times announced: ETA 16/17, ETD 18/07; was 20F)</t>
        </is>
      </c>
      <c r="T57" s="6" t="inlineStr">
        <is>
          <t>expected → 20C (ETA 16/17→16/19, P.B 16/17→17/08, ETD 18/07→18/16)</t>
        </is>
      </c>
      <c r="U57" s="5" t="inlineStr">
        <is>
          <t>alongside · 20C (actual ETA 17/01)</t>
        </is>
      </c>
      <c r="V57" s="5" t="inlineStr">
        <is>
          <t>alongside · 20C (ETD 18/16)</t>
        </is>
      </c>
      <c r="W57" s="5" t="inlineStr">
        <is>
          <t>sailed (18/16)</t>
        </is>
      </c>
      <c r="X57" s="5" t="inlineStr"/>
      <c r="Y57" s="5" t="inlineStr"/>
    </row>
    <row r="58">
      <c r="A58" s="4" t="inlineStr">
        <is>
          <t>XIN MING ZHOU 108</t>
        </is>
      </c>
      <c r="B58" s="5" t="inlineStr"/>
      <c r="C58" s="5" t="inlineStr"/>
      <c r="D58" s="5" t="inlineStr"/>
      <c r="E58" s="5" t="inlineStr"/>
      <c r="F58" s="5" t="inlineStr"/>
      <c r="G58" s="5" t="inlineStr"/>
      <c r="H58" s="5" t="inlineStr"/>
      <c r="I58" s="5" t="inlineStr"/>
      <c r="J58" s="5" t="inlineStr"/>
      <c r="K58" s="5" t="inlineStr"/>
      <c r="L58" s="5" t="inlineStr"/>
      <c r="M58" s="5" t="inlineStr"/>
      <c r="N58" s="5" t="inlineStr"/>
      <c r="O58" s="5" t="inlineStr"/>
      <c r="P58" s="5" t="inlineStr"/>
      <c r="Q58" s="5" t="inlineStr"/>
      <c r="R58" s="5" t="inlineStr"/>
      <c r="S58" s="5" t="inlineStr">
        <is>
          <t>expected · 20B (new)</t>
        </is>
      </c>
      <c r="T58" s="6" t="inlineStr">
        <is>
          <t>expected → 20F (ETA 17/22→17/10)</t>
        </is>
      </c>
      <c r="U58" s="5" t="inlineStr">
        <is>
          <t>expected · 20F</t>
        </is>
      </c>
      <c r="V58" s="5" t="inlineStr">
        <is>
          <t>alongside · 20F (ETD 19/07)</t>
        </is>
      </c>
      <c r="W58" s="6" t="inlineStr">
        <is>
          <t>alongside · 20F (ETD 19/07→19/12)</t>
        </is>
      </c>
      <c r="X58" s="5" t="inlineStr">
        <is>
          <t>sailed (19/12)</t>
        </is>
      </c>
      <c r="Y58" s="5" t="inlineStr"/>
    </row>
    <row r="59">
      <c r="A59" s="4" t="inlineStr">
        <is>
          <t>INGENUITY</t>
        </is>
      </c>
      <c r="B59" s="5" t="inlineStr"/>
      <c r="C59" s="5" t="inlineStr"/>
      <c r="D59" s="5" t="inlineStr"/>
      <c r="E59" s="5" t="inlineStr"/>
      <c r="F59" s="5" t="inlineStr"/>
      <c r="G59" s="5" t="inlineStr"/>
      <c r="H59" s="5" t="inlineStr"/>
      <c r="I59" s="5" t="inlineStr"/>
      <c r="J59" s="5" t="inlineStr"/>
      <c r="K59" s="5" t="inlineStr"/>
      <c r="L59" s="5" t="inlineStr"/>
      <c r="M59" s="5" t="inlineStr"/>
      <c r="N59" s="5" t="inlineStr"/>
      <c r="O59" s="5" t="inlineStr"/>
      <c r="P59" s="5" t="inlineStr"/>
      <c r="Q59" s="5" t="inlineStr"/>
      <c r="R59" s="5" t="inlineStr"/>
      <c r="S59" s="5" t="inlineStr">
        <is>
          <t>expected · 20F (new)</t>
        </is>
      </c>
      <c r="T59" s="5" t="inlineStr">
        <is>
          <t>expected · 20F</t>
        </is>
      </c>
      <c r="U59" s="5" t="inlineStr">
        <is>
          <t>alongside · 20F (actual ETA 16/23)</t>
        </is>
      </c>
      <c r="V59" s="5" t="inlineStr">
        <is>
          <t>sailed (18/07)</t>
        </is>
      </c>
      <c r="W59" s="5" t="inlineStr"/>
      <c r="X59" s="5" t="inlineStr"/>
      <c r="Y59" s="5" t="inlineStr"/>
    </row>
    <row r="60">
      <c r="A60" s="4" t="inlineStr">
        <is>
          <t>KMTC JAKARTA</t>
        </is>
      </c>
      <c r="B60" s="5" t="inlineStr"/>
      <c r="C60" s="5" t="inlineStr"/>
      <c r="D60" s="5" t="inlineStr"/>
      <c r="E60" s="5" t="inlineStr"/>
      <c r="F60" s="5" t="inlineStr"/>
      <c r="G60" s="5" t="inlineStr"/>
      <c r="H60" s="5" t="inlineStr"/>
      <c r="I60" s="5" t="inlineStr"/>
      <c r="J60" s="5" t="inlineStr"/>
      <c r="K60" s="5" t="inlineStr"/>
      <c r="L60" s="5" t="inlineStr"/>
      <c r="M60" s="5" t="inlineStr"/>
      <c r="N60" s="5" t="inlineStr"/>
      <c r="O60" s="5" t="inlineStr"/>
      <c r="P60" s="5" t="inlineStr"/>
      <c r="Q60" s="5" t="inlineStr"/>
      <c r="R60" s="5" t="inlineStr"/>
      <c r="S60" s="5" t="inlineStr">
        <is>
          <t>expected · 20F (new)</t>
        </is>
      </c>
      <c r="T60" s="6" t="inlineStr">
        <is>
          <t>expected · 20F (ETA 18/20→19/07, P.B 18/20→19/09, ETD 20/08→20/17)</t>
        </is>
      </c>
      <c r="U60" s="6" t="inlineStr">
        <is>
          <t>expected · 20F (ETA 19/07→19/08)</t>
        </is>
      </c>
      <c r="V60" s="6" t="inlineStr">
        <is>
          <t>expected · 20F (marked, ETA 19/08→19/12, P.B 19/09→19/12, ETD 20/17)</t>
        </is>
      </c>
      <c r="W60" s="6" t="inlineStr">
        <is>
          <t>expected → 20B (ETA/P.B 19/12→19/10)</t>
        </is>
      </c>
      <c r="X60" s="5" t="inlineStr">
        <is>
          <t>alongside · 20B (ETD 20/17)</t>
        </is>
      </c>
      <c r="Y60" s="5" t="inlineStr">
        <is>
          <t>sailed (20/17)</t>
        </is>
      </c>
    </row>
    <row r="61">
      <c r="A61" s="4" t="inlineStr">
        <is>
          <t>PUNNYA NAVEE</t>
        </is>
      </c>
      <c r="B61" s="5" t="inlineStr"/>
      <c r="C61" s="5" t="inlineStr"/>
      <c r="D61" s="5" t="inlineStr"/>
      <c r="E61" s="5" t="inlineStr"/>
      <c r="F61" s="5" t="inlineStr"/>
      <c r="G61" s="5" t="inlineStr"/>
      <c r="H61" s="5" t="inlineStr"/>
      <c r="I61" s="5" t="inlineStr"/>
      <c r="J61" s="5" t="inlineStr"/>
      <c r="K61" s="5" t="inlineStr"/>
      <c r="L61" s="5" t="inlineStr"/>
      <c r="M61" s="5" t="inlineStr"/>
      <c r="N61" s="5" t="inlineStr"/>
      <c r="O61" s="5" t="inlineStr"/>
      <c r="P61" s="5" t="inlineStr"/>
      <c r="Q61" s="5" t="inlineStr"/>
      <c r="R61" s="5" t="inlineStr"/>
      <c r="S61" s="5" t="inlineStr"/>
      <c r="T61" s="5" t="inlineStr">
        <is>
          <t>expected · 20F (new, LOA 304 m)</t>
        </is>
      </c>
      <c r="U61" s="6" t="inlineStr">
        <is>
          <t>alongside → 20D (ETA 16/15→16/18, P.B 16/15→17/03, ETD 17/06→17/15)</t>
        </is>
      </c>
      <c r="V61" s="5" t="inlineStr">
        <is>
          <t>sailed (17/15)</t>
        </is>
      </c>
      <c r="W61" s="5" t="inlineStr"/>
      <c r="X61" s="5" t="inlineStr"/>
      <c r="Y61" s="5" t="inlineStr"/>
    </row>
    <row r="62">
      <c r="A62" s="4" t="inlineStr">
        <is>
          <t>SKY ORION</t>
        </is>
      </c>
      <c r="B62" s="5" t="inlineStr"/>
      <c r="C62" s="5" t="inlineStr"/>
      <c r="D62" s="5" t="inlineStr"/>
      <c r="E62" s="5" t="inlineStr"/>
      <c r="F62" s="5" t="inlineStr"/>
      <c r="G62" s="5" t="inlineStr"/>
      <c r="H62" s="5" t="inlineStr"/>
      <c r="I62" s="5" t="inlineStr"/>
      <c r="J62" s="5" t="inlineStr"/>
      <c r="K62" s="5" t="inlineStr"/>
      <c r="L62" s="5" t="inlineStr"/>
      <c r="M62" s="5" t="inlineStr"/>
      <c r="N62" s="5" t="inlineStr"/>
      <c r="O62" s="5" t="inlineStr"/>
      <c r="P62" s="5" t="inlineStr"/>
      <c r="Q62" s="5" t="inlineStr"/>
      <c r="R62" s="5" t="inlineStr"/>
      <c r="S62" s="5" t="inlineStr"/>
      <c r="T62" s="5" t="inlineStr"/>
      <c r="U62" s="5" t="inlineStr"/>
      <c r="V62" s="5" t="inlineStr"/>
      <c r="W62" s="5" t="inlineStr">
        <is>
          <t>listed at 20AB without times (new, schedule TBA)</t>
        </is>
      </c>
      <c r="X62" s="6" t="inlineStr">
        <is>
          <t>expected → 20E (times announced: ETA 21/20, P.B 22/13, ETD 24/01)</t>
        </is>
      </c>
      <c r="Y62" s="6" t="inlineStr">
        <is>
          <t>expected · 20E (ETA 21/20→21/22)</t>
        </is>
      </c>
    </row>
    <row r="63">
      <c r="A63" s="4" t="inlineStr">
        <is>
          <t>SAWASDEE MIMOSA</t>
        </is>
      </c>
      <c r="B63" s="5" t="inlineStr"/>
      <c r="C63" s="5" t="inlineStr"/>
      <c r="D63" s="5" t="inlineStr"/>
      <c r="E63" s="5" t="inlineStr"/>
      <c r="F63" s="5" t="inlineStr"/>
      <c r="G63" s="5" t="inlineStr"/>
      <c r="H63" s="5" t="inlineStr"/>
      <c r="I63" s="5" t="inlineStr"/>
      <c r="J63" s="5" t="inlineStr"/>
      <c r="K63" s="5" t="inlineStr"/>
      <c r="L63" s="5" t="inlineStr"/>
      <c r="M63" s="5" t="inlineStr"/>
      <c r="N63" s="5" t="inlineStr"/>
      <c r="O63" s="5" t="inlineStr"/>
      <c r="P63" s="5" t="inlineStr"/>
      <c r="Q63" s="5" t="inlineStr"/>
      <c r="R63" s="5" t="inlineStr"/>
      <c r="S63" s="5" t="inlineStr"/>
      <c r="T63" s="5" t="inlineStr"/>
      <c r="U63" s="5" t="inlineStr"/>
      <c r="V63" s="5" t="inlineStr"/>
      <c r="W63" s="5" t="inlineStr">
        <is>
          <t>listed at 20B without times (new, schedule TBA)</t>
        </is>
      </c>
      <c r="X63" s="5" t="inlineStr">
        <is>
          <t>no longer listed (was listed without times)</t>
        </is>
      </c>
      <c r="Y63" s="5" t="inlineStr">
        <is>
          <t>listed at 20E with ETA 23/22 only (listed again)</t>
        </is>
      </c>
    </row>
    <row r="64">
      <c r="A64" s="4" t="inlineStr">
        <is>
          <t>CA MANILA</t>
        </is>
      </c>
      <c r="B64" s="5" t="inlineStr"/>
      <c r="C64" s="5" t="inlineStr"/>
      <c r="D64" s="5" t="inlineStr"/>
      <c r="E64" s="5" t="inlineStr"/>
      <c r="F64" s="5" t="inlineStr"/>
      <c r="G64" s="5" t="inlineStr"/>
      <c r="H64" s="5" t="inlineStr"/>
      <c r="I64" s="5" t="inlineStr"/>
      <c r="J64" s="5" t="inlineStr"/>
      <c r="K64" s="5" t="inlineStr"/>
      <c r="L64" s="5" t="inlineStr"/>
      <c r="M64" s="5" t="inlineStr"/>
      <c r="N64" s="5" t="inlineStr"/>
      <c r="O64" s="5" t="inlineStr"/>
      <c r="P64" s="5" t="inlineStr"/>
      <c r="Q64" s="5" t="inlineStr"/>
      <c r="R64" s="5" t="inlineStr"/>
      <c r="S64" s="5" t="inlineStr"/>
      <c r="T64" s="5" t="inlineStr"/>
      <c r="U64" s="5" t="inlineStr"/>
      <c r="V64" s="5" t="inlineStr"/>
      <c r="W64" s="5" t="inlineStr"/>
      <c r="X64" s="5" t="inlineStr">
        <is>
          <t>expected · 20C (new)</t>
        </is>
      </c>
      <c r="Y64" s="6" t="inlineStr">
        <is>
          <t>expected → 20B (ETA 22/16→22/17)</t>
        </is>
      </c>
    </row>
    <row r="65">
      <c r="A65" s="4" t="inlineStr">
        <is>
          <t>RENOWN</t>
        </is>
      </c>
      <c r="B65" s="5" t="inlineStr"/>
      <c r="C65" s="5" t="inlineStr"/>
      <c r="D65" s="5" t="inlineStr"/>
      <c r="E65" s="5" t="inlineStr"/>
      <c r="F65" s="5" t="inlineStr"/>
      <c r="G65" s="5" t="inlineStr"/>
      <c r="H65" s="5" t="inlineStr"/>
      <c r="I65" s="5" t="inlineStr"/>
      <c r="J65" s="5" t="inlineStr"/>
      <c r="K65" s="5" t="inlineStr"/>
      <c r="L65" s="5" t="inlineStr"/>
      <c r="M65" s="5" t="inlineStr"/>
      <c r="N65" s="5" t="inlineStr"/>
      <c r="O65" s="5" t="inlineStr"/>
      <c r="P65" s="5" t="inlineStr"/>
      <c r="Q65" s="5" t="inlineStr"/>
      <c r="R65" s="5" t="inlineStr"/>
      <c r="S65" s="5" t="inlineStr"/>
      <c r="T65" s="5" t="inlineStr"/>
      <c r="U65" s="5" t="inlineStr"/>
      <c r="V65" s="5" t="inlineStr"/>
      <c r="W65" s="5" t="inlineStr"/>
      <c r="X65" s="5" t="inlineStr">
        <is>
          <t>expected · 20F (new)</t>
        </is>
      </c>
      <c r="Y65" s="6" t="inlineStr">
        <is>
          <t>at anchorage · 20F (ETA 20/22→20/18)</t>
        </is>
      </c>
    </row>
    <row r="66">
      <c r="A66" s="4" t="inlineStr">
        <is>
          <t>WAN HAI 272</t>
        </is>
      </c>
      <c r="B66" s="5" t="inlineStr"/>
      <c r="C66" s="5" t="inlineStr"/>
      <c r="D66" s="5" t="inlineStr"/>
      <c r="E66" s="5" t="inlineStr"/>
      <c r="F66" s="5" t="inlineStr"/>
      <c r="G66" s="5" t="inlineStr"/>
      <c r="H66" s="5" t="inlineStr"/>
      <c r="I66" s="5" t="inlineStr"/>
      <c r="J66" s="5" t="inlineStr"/>
      <c r="K66" s="5" t="inlineStr"/>
      <c r="L66" s="5" t="inlineStr"/>
      <c r="M66" s="5" t="inlineStr"/>
      <c r="N66" s="5" t="inlineStr"/>
      <c r="O66" s="5" t="inlineStr"/>
      <c r="P66" s="5" t="inlineStr"/>
      <c r="Q66" s="5" t="inlineStr"/>
      <c r="R66" s="5" t="inlineStr"/>
      <c r="S66" s="5" t="inlineStr"/>
      <c r="T66" s="5" t="inlineStr"/>
      <c r="U66" s="5" t="inlineStr"/>
      <c r="V66" s="5" t="inlineStr"/>
      <c r="W66" s="5" t="inlineStr"/>
      <c r="X66" s="5" t="inlineStr">
        <is>
          <t>expected · 22A, then shifts to 20F (new)</t>
        </is>
      </c>
      <c r="Y66" s="5" t="inlineStr">
        <is>
          <t>expected · 22A, then shifts to 20F</t>
        </is>
      </c>
    </row>
    <row r="67">
      <c r="A67" s="4" t="inlineStr">
        <is>
          <t>HORAI BRIDGE</t>
        </is>
      </c>
      <c r="B67" s="5" t="inlineStr"/>
      <c r="C67" s="5" t="inlineStr"/>
      <c r="D67" s="5" t="inlineStr"/>
      <c r="E67" s="5" t="inlineStr"/>
      <c r="F67" s="5" t="inlineStr"/>
      <c r="G67" s="5" t="inlineStr"/>
      <c r="H67" s="5" t="inlineStr"/>
      <c r="I67" s="5" t="inlineStr"/>
      <c r="J67" s="5" t="inlineStr"/>
      <c r="K67" s="5" t="inlineStr"/>
      <c r="L67" s="5" t="inlineStr"/>
      <c r="M67" s="5" t="inlineStr"/>
      <c r="N67" s="5" t="inlineStr"/>
      <c r="O67" s="5" t="inlineStr"/>
      <c r="P67" s="5" t="inlineStr"/>
      <c r="Q67" s="5" t="inlineStr"/>
      <c r="R67" s="5" t="inlineStr"/>
      <c r="S67" s="5" t="inlineStr"/>
      <c r="T67" s="5" t="inlineStr"/>
      <c r="U67" s="5" t="inlineStr"/>
      <c r="V67" s="5" t="inlineStr"/>
      <c r="W67" s="5" t="inlineStr"/>
      <c r="X67" s="5" t="inlineStr"/>
      <c r="Y67" s="5" t="inlineStr">
        <is>
          <t>expected · 20C (new)</t>
        </is>
      </c>
    </row>
    <row r="68">
      <c r="A68" s="4" t="inlineStr">
        <is>
          <t>YM IMAGE</t>
        </is>
      </c>
      <c r="B68" s="5" t="inlineStr"/>
      <c r="C68" s="5" t="inlineStr"/>
      <c r="D68" s="5" t="inlineStr"/>
      <c r="E68" s="5" t="inlineStr"/>
      <c r="F68" s="5" t="inlineStr"/>
      <c r="G68" s="5" t="inlineStr"/>
      <c r="H68" s="5" t="inlineStr"/>
      <c r="I68" s="5" t="inlineStr"/>
      <c r="J68" s="5" t="inlineStr"/>
      <c r="K68" s="5" t="inlineStr"/>
      <c r="L68" s="5" t="inlineStr"/>
      <c r="M68" s="5" t="inlineStr"/>
      <c r="N68" s="5" t="inlineStr"/>
      <c r="O68" s="5" t="inlineStr"/>
      <c r="P68" s="5" t="inlineStr"/>
      <c r="Q68" s="5" t="inlineStr"/>
      <c r="R68" s="5" t="inlineStr"/>
      <c r="S68" s="5" t="inlineStr"/>
      <c r="T68" s="5" t="inlineStr"/>
      <c r="U68" s="5" t="inlineStr"/>
      <c r="V68" s="5" t="inlineStr"/>
      <c r="W68" s="5" t="inlineStr"/>
      <c r="X68" s="5" t="inlineStr"/>
      <c r="Y68" s="5" t="inlineStr">
        <is>
          <t>listed at 20C without times (new, schedule TBA)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57"/>
  <sheetViews>
    <sheetView workbookViewId="0">
      <pane ySplit="4" topLeftCell="A5" activePane="bottomLeft" state="frozen"/>
      <selection pane="bottomLeft" activeCell="A1" sqref="A1"/>
    </sheetView>
  </sheetViews>
  <sheetFormatPr baseColWidth="8" defaultRowHeight="15"/>
  <cols>
    <col width="14" customWidth="1" min="1" max="1"/>
    <col width="14" customWidth="1" min="2" max="2"/>
    <col width="15" customWidth="1" min="3" max="3"/>
    <col width="17" customWidth="1" min="4" max="4"/>
    <col width="17" customWidth="1" min="5" max="5"/>
    <col width="66" customWidth="1" min="6" max="6"/>
    <col width="52" customWidth="1" min="7" max="7"/>
  </cols>
  <sheetData>
    <row r="1">
      <c r="A1" s="1" t="inlineStr">
        <is>
          <t>Berth Closures &amp; Gate Stoppages — Daily Log (every sheet)</t>
        </is>
      </c>
    </row>
    <row r="2" ht="32" customHeight="1">
      <c r="A2" s="7" t="inlineStr">
        <is>
          <t>One row per notice printed on each day's sheet. From / To are inclusive dates (times shown when the sheet gives them). For 20C, ‘To’ is the date the wharf is to be utilised again. Highlighted rows = new, moved or slipped compared with the previous sheet.</t>
        </is>
      </c>
    </row>
    <row r="4">
      <c r="A4" s="3" t="inlineStr">
        <is>
          <t>Sheet Date</t>
        </is>
      </c>
      <c r="B4" s="3" t="inlineStr">
        <is>
          <t>Berth / Gate</t>
        </is>
      </c>
      <c r="C4" s="3" t="inlineStr">
        <is>
          <t>Type</t>
        </is>
      </c>
      <c r="D4" s="3" t="inlineStr">
        <is>
          <t>From</t>
        </is>
      </c>
      <c r="E4" s="3" t="inlineStr">
        <is>
          <t>To</t>
        </is>
      </c>
      <c r="F4" s="3" t="inlineStr">
        <is>
          <t>Notice (as printed, English)</t>
        </is>
      </c>
      <c r="G4" s="3" t="inlineStr">
        <is>
          <t>Change vs previous sheet</t>
        </is>
      </c>
    </row>
    <row r="5">
      <c r="A5" s="8" t="n">
        <v>46293</v>
      </c>
      <c r="B5" s="9" t="inlineStr">
        <is>
          <t>20C</t>
        </is>
      </c>
      <c r="C5" s="9" t="inlineStr">
        <is>
          <t>Berth closed</t>
        </is>
      </c>
      <c r="D5" s="10" t="n">
        <v>46212</v>
      </c>
      <c r="E5" s="10" t="n">
        <v>46295</v>
      </c>
      <c r="F5" s="9" t="inlineStr">
        <is>
          <t>20C closed 9 Jul – 30 Sep 2026 (cable track repair)</t>
        </is>
      </c>
      <c r="G5" s="9" t="inlineStr">
        <is>
          <t>First sheet in the log</t>
        </is>
      </c>
    </row>
    <row r="6">
      <c r="A6" s="8" t="n">
        <v>46293</v>
      </c>
      <c r="B6" s="9" t="inlineStr">
        <is>
          <t>20D</t>
        </is>
      </c>
      <c r="C6" s="9" t="inlineStr">
        <is>
          <t>Cable splicing</t>
        </is>
      </c>
      <c r="D6" s="11" t="n">
        <v>46295.35416666666</v>
      </c>
      <c r="E6" s="11" t="n">
        <v>46295.6875</v>
      </c>
      <c r="F6" s="9" t="inlineStr">
        <is>
          <t>20D 30 Sep 08:30–16:30 (cable splicing)</t>
        </is>
      </c>
      <c r="G6" s="9" t="inlineStr">
        <is>
          <t>First sheet in the log</t>
        </is>
      </c>
    </row>
    <row r="7">
      <c r="A7" s="12" t="n">
        <v>46294</v>
      </c>
      <c r="B7" s="13" t="inlineStr">
        <is>
          <t>20AB / G.29</t>
        </is>
      </c>
      <c r="C7" s="13" t="inlineStr">
        <is>
          <t>Gate stopped</t>
        </is>
      </c>
      <c r="D7" s="14" t="n">
        <v>46294</v>
      </c>
      <c r="E7" s="14" t="n">
        <v>46295</v>
      </c>
      <c r="F7" s="13" t="inlineStr">
        <is>
          <t>G.29 stops working 29–30 Sep 2026 to repair spreader</t>
        </is>
      </c>
      <c r="G7" s="13" t="inlineStr">
        <is>
          <t>New</t>
        </is>
      </c>
    </row>
    <row r="8">
      <c r="A8" s="15" t="n">
        <v>46294</v>
      </c>
      <c r="B8" s="16" t="inlineStr">
        <is>
          <t>20C</t>
        </is>
      </c>
      <c r="C8" s="16" t="inlineStr">
        <is>
          <t>Berth closed</t>
        </is>
      </c>
      <c r="D8" s="17" t="inlineStr">
        <is>
          <t>–</t>
        </is>
      </c>
      <c r="E8" s="18" t="n">
        <v>46296</v>
      </c>
      <c r="F8" s="16" t="inlineStr">
        <is>
          <t>Wharf will be utilised on 1 Oct 2026</t>
        </is>
      </c>
      <c r="G8" s="16" t="inlineStr">
        <is>
          <t>Reopening moved 30 Sep → 1 Oct</t>
        </is>
      </c>
    </row>
    <row r="9">
      <c r="A9" s="15" t="n">
        <v>46294</v>
      </c>
      <c r="B9" s="16" t="inlineStr">
        <is>
          <t>20D</t>
        </is>
      </c>
      <c r="C9" s="16" t="inlineStr">
        <is>
          <t>Berth closed</t>
        </is>
      </c>
      <c r="D9" s="18" t="n">
        <v>46296</v>
      </c>
      <c r="E9" s="18" t="n">
        <v>46316</v>
      </c>
      <c r="F9" s="16" t="inlineStr">
        <is>
          <t>Close on 1–21 Oct 2026 to renovate electric channel</t>
        </is>
      </c>
      <c r="G9" s="16" t="inlineStr">
        <is>
          <t>New (replaces the 30 Sep splicing notice)</t>
        </is>
      </c>
    </row>
    <row r="10">
      <c r="A10" s="15" t="n">
        <v>46294</v>
      </c>
      <c r="B10" s="16" t="inlineStr">
        <is>
          <t>20E / G.25</t>
        </is>
      </c>
      <c r="C10" s="16" t="inlineStr">
        <is>
          <t>Gate stopped</t>
        </is>
      </c>
      <c r="D10" s="18" t="n">
        <v>46296</v>
      </c>
      <c r="E10" s="18" t="n">
        <v>46310</v>
      </c>
      <c r="F10" s="16" t="inlineStr">
        <is>
          <t>G.25 stops working 1–15 Oct 2026 to change trolley rail</t>
        </is>
      </c>
      <c r="G10" s="16" t="inlineStr">
        <is>
          <t>New</t>
        </is>
      </c>
    </row>
    <row r="11">
      <c r="A11" s="12" t="n">
        <v>46295</v>
      </c>
      <c r="B11" s="13" t="inlineStr">
        <is>
          <t>20AB / G.29</t>
        </is>
      </c>
      <c r="C11" s="13" t="inlineStr">
        <is>
          <t>Gate stopped</t>
        </is>
      </c>
      <c r="D11" s="14" t="n">
        <v>46294</v>
      </c>
      <c r="E11" s="14" t="n">
        <v>46295</v>
      </c>
      <c r="F11" s="13" t="inlineStr">
        <is>
          <t>G.29 stops working 29–30 Sep 2026 to repair spreader</t>
        </is>
      </c>
      <c r="G11" s="13" t="inlineStr">
        <is>
          <t>Unchanged</t>
        </is>
      </c>
    </row>
    <row r="12">
      <c r="A12" s="15" t="n">
        <v>46295</v>
      </c>
      <c r="B12" s="16" t="inlineStr">
        <is>
          <t>20C</t>
        </is>
      </c>
      <c r="C12" s="16" t="inlineStr">
        <is>
          <t>Berth closed</t>
        </is>
      </c>
      <c r="D12" s="17" t="inlineStr">
        <is>
          <t>–</t>
        </is>
      </c>
      <c r="E12" s="18" t="n">
        <v>46298</v>
      </c>
      <c r="F12" s="16" t="inlineStr">
        <is>
          <t>Wharf will be utilised on 3 Oct 2026</t>
        </is>
      </c>
      <c r="G12" s="16" t="inlineStr">
        <is>
          <t>Slipped: reopening 1 Oct → 3 Oct</t>
        </is>
      </c>
    </row>
    <row r="13">
      <c r="A13" s="15" t="n">
        <v>46295</v>
      </c>
      <c r="B13" s="16" t="inlineStr">
        <is>
          <t>20D</t>
        </is>
      </c>
      <c r="C13" s="16" t="inlineStr">
        <is>
          <t>Berth closed</t>
        </is>
      </c>
      <c r="D13" s="18" t="n">
        <v>46298</v>
      </c>
      <c r="E13" s="18" t="n">
        <v>46319</v>
      </c>
      <c r="F13" s="16" t="inlineStr">
        <is>
          <t>Close on 3–24 Oct 2026 to renovate electric channel</t>
        </is>
      </c>
      <c r="G13" s="16" t="inlineStr">
        <is>
          <t>Slipped: 1–21 Oct → 3–24 Oct</t>
        </is>
      </c>
    </row>
    <row r="14">
      <c r="A14" s="15" t="n">
        <v>46295</v>
      </c>
      <c r="B14" s="16" t="inlineStr">
        <is>
          <t>20E / G.25</t>
        </is>
      </c>
      <c r="C14" s="16" t="inlineStr">
        <is>
          <t>Gate stopped</t>
        </is>
      </c>
      <c r="D14" s="18" t="n">
        <v>46298</v>
      </c>
      <c r="E14" s="18" t="n">
        <v>46313</v>
      </c>
      <c r="F14" s="16" t="inlineStr">
        <is>
          <t>G.25 stops working 3–18 Oct 2026 to change trolley rail</t>
        </is>
      </c>
      <c r="G14" s="16" t="inlineStr">
        <is>
          <t>Slipped: 1–15 Oct → 3–18 Oct</t>
        </is>
      </c>
    </row>
    <row r="15">
      <c r="A15" s="12" t="n">
        <v>46296</v>
      </c>
      <c r="B15" s="13" t="inlineStr">
        <is>
          <t>20AB / G.29</t>
        </is>
      </c>
      <c r="C15" s="13" t="inlineStr">
        <is>
          <t>Gate stopped</t>
        </is>
      </c>
      <c r="D15" s="19" t="inlineStr">
        <is>
          <t>–</t>
        </is>
      </c>
      <c r="E15" s="19" t="inlineStr">
        <is>
          <t>–</t>
        </is>
      </c>
      <c r="F15" s="13" t="inlineStr">
        <is>
          <t>(no longer listed – 29–30 Sep period has ended)</t>
        </is>
      </c>
      <c r="G15" s="13" t="inlineStr">
        <is>
          <t>Dropped from sheet</t>
        </is>
      </c>
    </row>
    <row r="16">
      <c r="A16" s="15" t="n">
        <v>46296</v>
      </c>
      <c r="B16" s="16" t="inlineStr">
        <is>
          <t>20C</t>
        </is>
      </c>
      <c r="C16" s="16" t="inlineStr">
        <is>
          <t>Berth closed</t>
        </is>
      </c>
      <c r="D16" s="17" t="inlineStr">
        <is>
          <t>–</t>
        </is>
      </c>
      <c r="E16" s="18" t="n">
        <v>46298</v>
      </c>
      <c r="F16" s="16" t="inlineStr">
        <is>
          <t>Wharf will be utilised on 3 Oct (sheet prints 2027, treated as a typo)</t>
        </is>
      </c>
      <c r="G16" s="16" t="inlineStr">
        <is>
          <t>Unchanged</t>
        </is>
      </c>
    </row>
    <row r="17">
      <c r="A17" s="15" t="n">
        <v>46296</v>
      </c>
      <c r="B17" s="16" t="inlineStr">
        <is>
          <t>20D</t>
        </is>
      </c>
      <c r="C17" s="16" t="inlineStr">
        <is>
          <t>Berth closed</t>
        </is>
      </c>
      <c r="D17" s="18" t="n">
        <v>46298</v>
      </c>
      <c r="E17" s="18" t="n">
        <v>46319</v>
      </c>
      <c r="F17" s="16" t="inlineStr">
        <is>
          <t>Close on 3–24 Oct 2026 to renovate electric channel</t>
        </is>
      </c>
      <c r="G17" s="16" t="inlineStr">
        <is>
          <t>Unchanged</t>
        </is>
      </c>
    </row>
    <row r="18">
      <c r="A18" s="15" t="n">
        <v>46296</v>
      </c>
      <c r="B18" s="16" t="inlineStr">
        <is>
          <t>20E / G.25</t>
        </is>
      </c>
      <c r="C18" s="16" t="inlineStr">
        <is>
          <t>Gate stopped</t>
        </is>
      </c>
      <c r="D18" s="18" t="n">
        <v>46298</v>
      </c>
      <c r="E18" s="18" t="n">
        <v>46313</v>
      </c>
      <c r="F18" s="16" t="inlineStr">
        <is>
          <t>G.25 stops working 3–18 Oct 2026 to change trolley rail</t>
        </is>
      </c>
      <c r="G18" s="16" t="inlineStr">
        <is>
          <t>Unchanged</t>
        </is>
      </c>
    </row>
    <row r="19">
      <c r="A19" s="12" t="n">
        <v>46297</v>
      </c>
      <c r="B19" s="13" t="inlineStr">
        <is>
          <t>20C</t>
        </is>
      </c>
      <c r="C19" s="13" t="inlineStr">
        <is>
          <t>Berth closed</t>
        </is>
      </c>
      <c r="D19" s="19" t="inlineStr">
        <is>
          <t>–</t>
        </is>
      </c>
      <c r="E19" s="14" t="n">
        <v>46300</v>
      </c>
      <c r="F19" s="13" t="inlineStr">
        <is>
          <t>Wharf will be utilised on 5 Oct 2026</t>
        </is>
      </c>
      <c r="G19" s="13" t="inlineStr">
        <is>
          <t>Slipped: reopening 3 Oct → 5 Oct</t>
        </is>
      </c>
    </row>
    <row r="20">
      <c r="A20" s="15" t="n">
        <v>46297</v>
      </c>
      <c r="B20" s="16" t="inlineStr">
        <is>
          <t>20D</t>
        </is>
      </c>
      <c r="C20" s="16" t="inlineStr">
        <is>
          <t>Berth closed</t>
        </is>
      </c>
      <c r="D20" s="18" t="n">
        <v>46299</v>
      </c>
      <c r="E20" s="18" t="n">
        <v>46319</v>
      </c>
      <c r="F20" s="16" t="inlineStr">
        <is>
          <t>Close on 4–24 Oct 2026 to renovate electric channel</t>
        </is>
      </c>
      <c r="G20" s="16" t="inlineStr">
        <is>
          <t>Slipped: start 3 Oct → 4 Oct</t>
        </is>
      </c>
    </row>
    <row r="21">
      <c r="A21" s="15" t="n">
        <v>46297</v>
      </c>
      <c r="B21" s="16" t="inlineStr">
        <is>
          <t>20E / G.25</t>
        </is>
      </c>
      <c r="C21" s="16" t="inlineStr">
        <is>
          <t>Gate stopped</t>
        </is>
      </c>
      <c r="D21" s="18" t="n">
        <v>46300</v>
      </c>
      <c r="E21" s="18" t="n">
        <v>46313</v>
      </c>
      <c r="F21" s="16" t="inlineStr">
        <is>
          <t>G.25 stops working 5–18 Oct 2026 to change trolley rail</t>
        </is>
      </c>
      <c r="G21" s="16" t="inlineStr">
        <is>
          <t>Slipped: start 3 Oct → 5 Oct</t>
        </is>
      </c>
    </row>
    <row r="22">
      <c r="A22" s="12" t="n">
        <v>46298</v>
      </c>
      <c r="B22" s="13" t="inlineStr">
        <is>
          <t>20C</t>
        </is>
      </c>
      <c r="C22" s="13" t="inlineStr">
        <is>
          <t>Berth closed</t>
        </is>
      </c>
      <c r="D22" s="19" t="inlineStr">
        <is>
          <t>–</t>
        </is>
      </c>
      <c r="E22" s="14" t="n">
        <v>46300</v>
      </c>
      <c r="F22" s="13" t="inlineStr">
        <is>
          <t>Wharf will be utilised on 5 Oct 2026</t>
        </is>
      </c>
      <c r="G22" s="13" t="inlineStr">
        <is>
          <t>Unchanged</t>
        </is>
      </c>
    </row>
    <row r="23">
      <c r="A23" s="15" t="n">
        <v>46298</v>
      </c>
      <c r="B23" s="16" t="inlineStr">
        <is>
          <t>20C</t>
        </is>
      </c>
      <c r="C23" s="16" t="inlineStr">
        <is>
          <t>Cable splicing</t>
        </is>
      </c>
      <c r="D23" s="20" t="n">
        <v>46299.375</v>
      </c>
      <c r="E23" s="20" t="n">
        <v>46299.5</v>
      </c>
      <c r="F23" s="16" t="inlineStr">
        <is>
          <t>20C and 20D cable splicing on 4 Oct 2026, 09:00–12:00</t>
        </is>
      </c>
      <c r="G23" s="16" t="inlineStr">
        <is>
          <t>New (berthing-section sheet)</t>
        </is>
      </c>
    </row>
    <row r="24">
      <c r="A24" s="15" t="n">
        <v>46298</v>
      </c>
      <c r="B24" s="16" t="inlineStr">
        <is>
          <t>20D</t>
        </is>
      </c>
      <c r="C24" s="16" t="inlineStr">
        <is>
          <t>Cable splicing</t>
        </is>
      </c>
      <c r="D24" s="20" t="n">
        <v>46299.375</v>
      </c>
      <c r="E24" s="20" t="n">
        <v>46299.5</v>
      </c>
      <c r="F24" s="16" t="inlineStr">
        <is>
          <t>20C and 20D cable splicing on 4 Oct 2026, 09:00–12:00</t>
        </is>
      </c>
      <c r="G24" s="16" t="inlineStr">
        <is>
          <t>New (berthing-section sheet)</t>
        </is>
      </c>
    </row>
    <row r="25">
      <c r="A25" s="15" t="n">
        <v>46298</v>
      </c>
      <c r="B25" s="16" t="inlineStr">
        <is>
          <t>20D</t>
        </is>
      </c>
      <c r="C25" s="16" t="inlineStr">
        <is>
          <t>Berth closed</t>
        </is>
      </c>
      <c r="D25" s="18" t="n">
        <v>46299</v>
      </c>
      <c r="E25" s="18" t="n">
        <v>46320</v>
      </c>
      <c r="F25" s="16" t="inlineStr">
        <is>
          <t>20D closed 4–25 Oct 2026 to renovate electric channel (cable track bays 1700–1800)</t>
        </is>
      </c>
      <c r="G25" s="16" t="inlineStr">
        <is>
          <t>End moved 24 → 25 Oct (the feeder sheet of the same day still says 24)</t>
        </is>
      </c>
    </row>
    <row r="26">
      <c r="A26" s="15" t="n">
        <v>46298</v>
      </c>
      <c r="B26" s="16" t="inlineStr">
        <is>
          <t>20E / G.25</t>
        </is>
      </c>
      <c r="C26" s="16" t="inlineStr">
        <is>
          <t>Gate stopped</t>
        </is>
      </c>
      <c r="D26" s="20" t="n">
        <v>46300.5</v>
      </c>
      <c r="E26" s="18" t="n">
        <v>46313</v>
      </c>
      <c r="F26" s="16" t="inlineStr">
        <is>
          <t>G.25 stops working from 5 Oct 12:00 to change trolley rail (bays 700–900); end date is cut off on this sheet, daily sheet says 18 Oct</t>
        </is>
      </c>
      <c r="G26" s="16" t="inlineStr">
        <is>
          <t>Start time added (12:00); end date unclear</t>
        </is>
      </c>
    </row>
    <row r="27">
      <c r="A27" s="12" t="n">
        <v>46299</v>
      </c>
      <c r="B27" s="13" t="inlineStr">
        <is>
          <t>20C</t>
        </is>
      </c>
      <c r="C27" s="13" t="inlineStr">
        <is>
          <t>Berth closed</t>
        </is>
      </c>
      <c r="D27" s="19" t="inlineStr">
        <is>
          <t>–</t>
        </is>
      </c>
      <c r="E27" s="14" t="n">
        <v>46300</v>
      </c>
      <c r="F27" s="13" t="inlineStr">
        <is>
          <t>Wharf will be utilised on 5 Oct (sheet prints 2027, treated as a typo)</t>
        </is>
      </c>
      <c r="G27" s="13" t="inlineStr">
        <is>
          <t>Unchanged</t>
        </is>
      </c>
    </row>
    <row r="28">
      <c r="A28" s="15" t="n">
        <v>46299</v>
      </c>
      <c r="B28" s="16" t="inlineStr">
        <is>
          <t>20D</t>
        </is>
      </c>
      <c r="C28" s="16" t="inlineStr">
        <is>
          <t>Berth closed</t>
        </is>
      </c>
      <c r="D28" s="18" t="n">
        <v>46299</v>
      </c>
      <c r="E28" s="18" t="n">
        <v>46319</v>
      </c>
      <c r="F28" s="16" t="inlineStr">
        <is>
          <t>Close on 4–24 Oct 2026 to renovate electric channel</t>
        </is>
      </c>
      <c r="G28" s="16" t="inlineStr">
        <is>
          <t>End back to 24 Oct</t>
        </is>
      </c>
    </row>
    <row r="29">
      <c r="A29" s="8" t="n">
        <v>46299</v>
      </c>
      <c r="B29" s="9" t="inlineStr">
        <is>
          <t>20E / G.25</t>
        </is>
      </c>
      <c r="C29" s="9" t="inlineStr">
        <is>
          <t>Gate stopped</t>
        </is>
      </c>
      <c r="D29" s="10" t="n">
        <v>46300</v>
      </c>
      <c r="E29" s="10" t="n">
        <v>46313</v>
      </c>
      <c r="F29" s="9" t="inlineStr">
        <is>
          <t>G.25 stops working 5–18 Oct 2026 to change trolley rail</t>
        </is>
      </c>
      <c r="G29" s="9" t="inlineStr">
        <is>
          <t>End confirmed as 18 Oct</t>
        </is>
      </c>
    </row>
    <row r="30">
      <c r="A30" s="12" t="n">
        <v>46300</v>
      </c>
      <c r="B30" s="13" t="inlineStr">
        <is>
          <t>20C</t>
        </is>
      </c>
      <c r="C30" s="13" t="inlineStr">
        <is>
          <t>Berth closed</t>
        </is>
      </c>
      <c r="D30" s="19" t="inlineStr">
        <is>
          <t>–</t>
        </is>
      </c>
      <c r="E30" s="19" t="inlineStr">
        <is>
          <t>–</t>
        </is>
      </c>
      <c r="F30" s="13" t="inlineStr">
        <is>
          <t>(no notice – wharf open)</t>
        </is>
      </c>
      <c r="G30" s="13" t="inlineStr">
        <is>
          <t>Notice removed: 20C reopened on 5 Oct</t>
        </is>
      </c>
    </row>
    <row r="31">
      <c r="A31" s="15" t="n">
        <v>46300</v>
      </c>
      <c r="B31" s="16" t="inlineStr">
        <is>
          <t>20D</t>
        </is>
      </c>
      <c r="C31" s="16" t="inlineStr">
        <is>
          <t>Berth closed</t>
        </is>
      </c>
      <c r="D31" s="18" t="n">
        <v>46299</v>
      </c>
      <c r="E31" s="18" t="n">
        <v>46319</v>
      </c>
      <c r="F31" s="16" t="inlineStr">
        <is>
          <t>Close on 4–24 Oct 2026 to renovate electric channel (but JOSCO LUCKY and MTT BANGKOK are booked at 20D from 06/18)</t>
        </is>
      </c>
      <c r="G31" s="16" t="inlineStr">
        <is>
          <t>Unchanged – conflicts with vessel bookings, please confirm</t>
        </is>
      </c>
    </row>
    <row r="32">
      <c r="A32" s="15" t="n">
        <v>46300</v>
      </c>
      <c r="B32" s="16" t="inlineStr">
        <is>
          <t>20E / G.25</t>
        </is>
      </c>
      <c r="C32" s="16" t="inlineStr">
        <is>
          <t>Gate stopped</t>
        </is>
      </c>
      <c r="D32" s="18" t="n">
        <v>46300</v>
      </c>
      <c r="E32" s="18" t="n">
        <v>46313</v>
      </c>
      <c r="F32" s="16" t="inlineStr">
        <is>
          <t>G.25 stops working 5–18 Oct 2026 to change trolley rail</t>
        </is>
      </c>
      <c r="G32" s="16" t="inlineStr">
        <is>
          <t>Unchanged</t>
        </is>
      </c>
    </row>
    <row r="33">
      <c r="A33" s="12" t="n">
        <v>46301</v>
      </c>
      <c r="B33" s="13" t="inlineStr">
        <is>
          <t>20D</t>
        </is>
      </c>
      <c r="C33" s="13" t="inlineStr">
        <is>
          <t>Berth closed</t>
        </is>
      </c>
      <c r="D33" s="14" t="n">
        <v>46299</v>
      </c>
      <c r="E33" s="14" t="n">
        <v>46319</v>
      </c>
      <c r="F33" s="13" t="inlineStr">
        <is>
          <t>Close on 4–24 Oct 2026 to renovate electric channel (MTT BANGKOK and KANWAY FORTUNE are still booked at 20D from 07/12)</t>
        </is>
      </c>
      <c r="G33" s="13" t="inlineStr">
        <is>
          <t>Unchanged – conflicts with vessel bookings, please confirm</t>
        </is>
      </c>
    </row>
    <row r="34">
      <c r="A34" s="15" t="n">
        <v>46301</v>
      </c>
      <c r="B34" s="16" t="inlineStr">
        <is>
          <t>20E / G.25</t>
        </is>
      </c>
      <c r="C34" s="16" t="inlineStr">
        <is>
          <t>Gate stopped</t>
        </is>
      </c>
      <c r="D34" s="18" t="n">
        <v>46300</v>
      </c>
      <c r="E34" s="18" t="n">
        <v>46313</v>
      </c>
      <c r="F34" s="16" t="inlineStr">
        <is>
          <t>G.25 stops working 5–18 Oct 2026 to change trolley rail (in progress)</t>
        </is>
      </c>
      <c r="G34" s="16" t="inlineStr">
        <is>
          <t>Unchanged</t>
        </is>
      </c>
    </row>
    <row r="35">
      <c r="A35" s="12" t="n">
        <v>46302</v>
      </c>
      <c r="B35" s="13" t="inlineStr">
        <is>
          <t>20D</t>
        </is>
      </c>
      <c r="C35" s="13" t="inlineStr">
        <is>
          <t>Berth closed</t>
        </is>
      </c>
      <c r="D35" s="14" t="n">
        <v>46299</v>
      </c>
      <c r="E35" s="14" t="n">
        <v>46319</v>
      </c>
      <c r="F35" s="13" t="inlineStr">
        <is>
          <t>Close on 4–24 Oct 2026 to renovate electric channel (MTT BANGKOK and SAWASDEE ATLANTIC are still booked at 20D)</t>
        </is>
      </c>
      <c r="G35" s="13" t="inlineStr">
        <is>
          <t>Unchanged – conflicts with vessel bookings, please confirm</t>
        </is>
      </c>
    </row>
    <row r="36">
      <c r="A36" s="15" t="n">
        <v>46302</v>
      </c>
      <c r="B36" s="16" t="inlineStr">
        <is>
          <t>20E / G.25</t>
        </is>
      </c>
      <c r="C36" s="16" t="inlineStr">
        <is>
          <t>Gate stopped</t>
        </is>
      </c>
      <c r="D36" s="18" t="n">
        <v>46300</v>
      </c>
      <c r="E36" s="18" t="n">
        <v>46313</v>
      </c>
      <c r="F36" s="16" t="inlineStr">
        <is>
          <t>G.25 stops working 5–18 Oct 2026 to change trolley rail (in progress)</t>
        </is>
      </c>
      <c r="G36" s="16" t="inlineStr">
        <is>
          <t>Unchanged</t>
        </is>
      </c>
    </row>
    <row r="37">
      <c r="A37" s="12" t="n">
        <v>46303</v>
      </c>
      <c r="B37" s="13" t="inlineStr">
        <is>
          <t>20D</t>
        </is>
      </c>
      <c r="C37" s="13" t="inlineStr">
        <is>
          <t>Berth closed</t>
        </is>
      </c>
      <c r="D37" s="14" t="n">
        <v>46299</v>
      </c>
      <c r="E37" s="14" t="n">
        <v>46319</v>
      </c>
      <c r="F37" s="13" t="inlineStr">
        <is>
          <t>Close on 4–24 Oct 2026 to renovate electric channel (MTT BANGKOK has been alongside at 20D since 07/14, HE JIN shifts in on 09/02)</t>
        </is>
      </c>
      <c r="G37" s="13" t="inlineStr">
        <is>
          <t>Unchanged – conflicts with vessel bookings, please confirm</t>
        </is>
      </c>
    </row>
    <row r="38">
      <c r="A38" s="15" t="n">
        <v>46303</v>
      </c>
      <c r="B38" s="16" t="inlineStr">
        <is>
          <t>20E / G.25</t>
        </is>
      </c>
      <c r="C38" s="16" t="inlineStr">
        <is>
          <t>Gate stopped</t>
        </is>
      </c>
      <c r="D38" s="18" t="n">
        <v>46300</v>
      </c>
      <c r="E38" s="18" t="n">
        <v>46313</v>
      </c>
      <c r="F38" s="16" t="inlineStr">
        <is>
          <t>G.25 stops working 5–18 Oct 2026 to change trolley rail (in progress)</t>
        </is>
      </c>
      <c r="G38" s="16" t="inlineStr">
        <is>
          <t>Unchanged</t>
        </is>
      </c>
    </row>
    <row r="39">
      <c r="A39" s="12" t="n">
        <v>46304</v>
      </c>
      <c r="B39" s="13" t="inlineStr">
        <is>
          <t>20D</t>
        </is>
      </c>
      <c r="C39" s="13" t="inlineStr">
        <is>
          <t>Berth closed</t>
        </is>
      </c>
      <c r="D39" s="14" t="n">
        <v>46299</v>
      </c>
      <c r="E39" s="14" t="n">
        <v>46319</v>
      </c>
      <c r="F39" s="13" t="inlineStr">
        <is>
          <t>Close on 4–24 Oct 2026 to renovate electric channel (HE JIN has shifted in to 20D, other vessels are booked from 10/16)</t>
        </is>
      </c>
      <c r="G39" s="13" t="inlineStr">
        <is>
          <t>Unchanged – conflicts with vessel bookings, please confirm</t>
        </is>
      </c>
    </row>
    <row r="40">
      <c r="A40" s="15" t="n">
        <v>46304</v>
      </c>
      <c r="B40" s="16" t="inlineStr">
        <is>
          <t>20E / G.25</t>
        </is>
      </c>
      <c r="C40" s="16" t="inlineStr">
        <is>
          <t>Gate stopped</t>
        </is>
      </c>
      <c r="D40" s="18" t="n">
        <v>46300</v>
      </c>
      <c r="E40" s="18" t="n">
        <v>46313</v>
      </c>
      <c r="F40" s="16" t="inlineStr">
        <is>
          <t>G.25 stops working 5–18 Oct 2026 to change trolley rail (in progress)</t>
        </is>
      </c>
      <c r="G40" s="16" t="inlineStr">
        <is>
          <t>Unchanged</t>
        </is>
      </c>
    </row>
    <row r="41">
      <c r="A41" s="12" t="n">
        <v>46305</v>
      </c>
      <c r="B41" s="13" t="inlineStr">
        <is>
          <t>20D</t>
        </is>
      </c>
      <c r="C41" s="13" t="inlineStr">
        <is>
          <t>Berth closed</t>
        </is>
      </c>
      <c r="D41" s="14" t="n">
        <v>46299</v>
      </c>
      <c r="E41" s="14" t="n">
        <v>46319</v>
      </c>
      <c r="F41" s="13" t="inlineStr">
        <is>
          <t>Close on 4–24 Oct 2026 to renovate electric channel (HE JIN is alongside at 20D; other vessels are booked from 10/16)</t>
        </is>
      </c>
      <c r="G41" s="13" t="inlineStr">
        <is>
          <t>Unchanged – conflicts with vessel bookings, please confirm</t>
        </is>
      </c>
    </row>
    <row r="42">
      <c r="A42" s="15" t="n">
        <v>46305</v>
      </c>
      <c r="B42" s="16" t="inlineStr">
        <is>
          <t>20E / G.25</t>
        </is>
      </c>
      <c r="C42" s="16" t="inlineStr">
        <is>
          <t>Gate stopped</t>
        </is>
      </c>
      <c r="D42" s="18" t="n">
        <v>46300</v>
      </c>
      <c r="E42" s="18" t="n">
        <v>46313</v>
      </c>
      <c r="F42" s="16" t="inlineStr">
        <is>
          <t>G.25 stops working 5–18 Oct 2026 to change trolley rail (in progress)</t>
        </is>
      </c>
      <c r="G42" s="16" t="inlineStr">
        <is>
          <t>Unchanged</t>
        </is>
      </c>
    </row>
    <row r="43">
      <c r="A43" s="12" t="n">
        <v>46306</v>
      </c>
      <c r="B43" s="13" t="inlineStr">
        <is>
          <t>20D</t>
        </is>
      </c>
      <c r="C43" s="13" t="inlineStr">
        <is>
          <t>Berth closed</t>
        </is>
      </c>
      <c r="D43" s="14" t="n">
        <v>46299</v>
      </c>
      <c r="E43" s="14" t="n">
        <v>46319</v>
      </c>
      <c r="F43" s="13" t="inlineStr">
        <is>
          <t>Close on 4–24 Oct 2026 to renovate electric channel (INCEDA is alongside at 20D; other vessels are booked from 12/09)</t>
        </is>
      </c>
      <c r="G43" s="13" t="inlineStr">
        <is>
          <t>Unchanged – conflicts with vessel bookings, please confirm</t>
        </is>
      </c>
    </row>
    <row r="44">
      <c r="A44" s="15" t="n">
        <v>46306</v>
      </c>
      <c r="B44" s="16" t="inlineStr">
        <is>
          <t>20E / G.25</t>
        </is>
      </c>
      <c r="C44" s="16" t="inlineStr">
        <is>
          <t>Gate stopped</t>
        </is>
      </c>
      <c r="D44" s="18" t="n">
        <v>46300</v>
      </c>
      <c r="E44" s="18" t="n">
        <v>46313</v>
      </c>
      <c r="F44" s="16" t="inlineStr">
        <is>
          <t>G.25 stops working 5–18 Oct 2026 to change trolley rail (in progress)</t>
        </is>
      </c>
      <c r="G44" s="16" t="inlineStr">
        <is>
          <t>Unchanged</t>
        </is>
      </c>
    </row>
    <row r="45">
      <c r="A45" s="12" t="n">
        <v>46307</v>
      </c>
      <c r="B45" s="13" t="inlineStr">
        <is>
          <t>20D</t>
        </is>
      </c>
      <c r="C45" s="13" t="inlineStr">
        <is>
          <t>Berth closed</t>
        </is>
      </c>
      <c r="D45" s="14" t="n">
        <v>46299</v>
      </c>
      <c r="E45" s="14" t="n">
        <v>46319</v>
      </c>
      <c r="F45" s="13" t="inlineStr">
        <is>
          <t>Close on 4–24 Oct 2026 to renovate electric channel (INCEDA is alongside at 20D; other vessels are booked from 12/16)</t>
        </is>
      </c>
      <c r="G45" s="13" t="inlineStr">
        <is>
          <t>Unchanged – conflicts with vessel bookings, please confirm</t>
        </is>
      </c>
    </row>
    <row r="46">
      <c r="A46" s="15" t="n">
        <v>46307</v>
      </c>
      <c r="B46" s="16" t="inlineStr">
        <is>
          <t>20E / G.25</t>
        </is>
      </c>
      <c r="C46" s="16" t="inlineStr">
        <is>
          <t>Gate stopped</t>
        </is>
      </c>
      <c r="D46" s="18" t="n">
        <v>46300</v>
      </c>
      <c r="E46" s="18" t="n">
        <v>46313</v>
      </c>
      <c r="F46" s="16" t="inlineStr">
        <is>
          <t>G.25 stops working 5–18 Oct 2026 to change trolley rail (in progress)</t>
        </is>
      </c>
      <c r="G46" s="16" t="inlineStr">
        <is>
          <t>Unchanged</t>
        </is>
      </c>
    </row>
    <row r="47">
      <c r="A47" s="12" t="n">
        <v>46308</v>
      </c>
      <c r="B47" s="13" t="inlineStr">
        <is>
          <t>20D</t>
        </is>
      </c>
      <c r="C47" s="13" t="inlineStr">
        <is>
          <t>Berth closed</t>
        </is>
      </c>
      <c r="D47" s="14" t="n">
        <v>46299</v>
      </c>
      <c r="E47" s="14" t="n">
        <v>46319</v>
      </c>
      <c r="F47" s="13" t="inlineStr">
        <is>
          <t>Close on 4–24 Oct 2026 to renovate electric channel (SAWASDEE SUNRISE is alongside at 20D; other vessels are booked from 14/05)</t>
        </is>
      </c>
      <c r="G47" s="13" t="inlineStr">
        <is>
          <t>Unchanged – conflicts with vessel bookings, please confirm</t>
        </is>
      </c>
    </row>
    <row r="48">
      <c r="A48" s="15" t="n">
        <v>46308</v>
      </c>
      <c r="B48" s="16" t="inlineStr">
        <is>
          <t>20E / G.25</t>
        </is>
      </c>
      <c r="C48" s="16" t="inlineStr">
        <is>
          <t>Gate stopped</t>
        </is>
      </c>
      <c r="D48" s="18" t="n">
        <v>46300</v>
      </c>
      <c r="E48" s="18" t="n">
        <v>46313</v>
      </c>
      <c r="F48" s="16" t="inlineStr">
        <is>
          <t>G.25 stops working 5–18 Oct 2026 to change trolley rail (in progress)</t>
        </is>
      </c>
      <c r="G48" s="16" t="inlineStr">
        <is>
          <t>Unchanged</t>
        </is>
      </c>
    </row>
    <row r="49">
      <c r="A49" s="12" t="n">
        <v>46309</v>
      </c>
      <c r="B49" s="13" t="inlineStr">
        <is>
          <t>20D</t>
        </is>
      </c>
      <c r="C49" s="13" t="inlineStr">
        <is>
          <t>Berth closed</t>
        </is>
      </c>
      <c r="D49" s="14" t="n">
        <v>46299</v>
      </c>
      <c r="E49" s="14" t="n">
        <v>46319</v>
      </c>
      <c r="F49" s="13" t="inlineStr">
        <is>
          <t>Close on 4–24 Oct 2026 to renovate electric channel (KHUNA BHUM is alongside at 20D; other vessels are booked from 15/05)</t>
        </is>
      </c>
      <c r="G49" s="13" t="inlineStr">
        <is>
          <t>Unchanged – conflicts with vessel bookings, please confirm</t>
        </is>
      </c>
    </row>
    <row r="50">
      <c r="A50" s="15" t="n">
        <v>46309</v>
      </c>
      <c r="B50" s="16" t="inlineStr">
        <is>
          <t>20E / G.25</t>
        </is>
      </c>
      <c r="C50" s="16" t="inlineStr">
        <is>
          <t>Gate stopped</t>
        </is>
      </c>
      <c r="D50" s="18" t="n">
        <v>46300</v>
      </c>
      <c r="E50" s="18" t="n">
        <v>46313</v>
      </c>
      <c r="F50" s="16" t="inlineStr">
        <is>
          <t>G.25 stops working 5–18 Oct 2026 to change trolley rail (in progress)</t>
        </is>
      </c>
      <c r="G50" s="16" t="inlineStr">
        <is>
          <t>Unchanged</t>
        </is>
      </c>
    </row>
    <row r="51">
      <c r="A51" s="12" t="n">
        <v>46310</v>
      </c>
      <c r="B51" s="13" t="inlineStr">
        <is>
          <t>20D</t>
        </is>
      </c>
      <c r="C51" s="13" t="inlineStr">
        <is>
          <t>Berth closed</t>
        </is>
      </c>
      <c r="D51" s="19" t="inlineStr">
        <is>
          <t>–</t>
        </is>
      </c>
      <c r="E51" s="19" t="inlineStr">
        <is>
          <t>–</t>
        </is>
      </c>
      <c r="F51" s="13" t="inlineStr">
        <is>
          <t>(no longer printed – 20D now has vessels booked and berthing)</t>
        </is>
      </c>
      <c r="G51" s="13" t="inlineStr">
        <is>
          <t>Dropped from sheet: the 4–24 Oct closure notice is gone, so the vessel bookings no longer conflict</t>
        </is>
      </c>
    </row>
    <row r="52">
      <c r="A52" s="15" t="n">
        <v>46310</v>
      </c>
      <c r="B52" s="16" t="inlineStr">
        <is>
          <t>20E</t>
        </is>
      </c>
      <c r="C52" s="16" t="inlineStr">
        <is>
          <t>Berth closed</t>
        </is>
      </c>
      <c r="D52" s="18" t="n">
        <v>46300</v>
      </c>
      <c r="E52" s="18" t="n">
        <v>46315</v>
      </c>
      <c r="F52" s="16" t="inlineStr">
        <is>
          <t>CLOSE (Oct 5–20 2026) printed under 20E; earlier sheets said G.25 stops working 5–18 Oct to change trolley rail</t>
        </is>
      </c>
      <c r="G52" s="16" t="inlineStr">
        <is>
          <t>Changed: gate stoppage 5–18 Oct became a berth CLOSE 5–20 Oct</t>
        </is>
      </c>
    </row>
    <row r="53">
      <c r="A53" s="12" t="n">
        <v>46311</v>
      </c>
      <c r="B53" s="13" t="inlineStr">
        <is>
          <t>20E</t>
        </is>
      </c>
      <c r="C53" s="13" t="inlineStr">
        <is>
          <t>Berth closed</t>
        </is>
      </c>
      <c r="D53" s="14" t="n">
        <v>46300</v>
      </c>
      <c r="E53" s="14" t="n">
        <v>46315</v>
      </c>
      <c r="F53" s="13" t="inlineStr">
        <is>
          <t>CLOSE (Oct 5–20 2026) printed under 20E</t>
        </is>
      </c>
      <c r="G53" s="13" t="inlineStr">
        <is>
          <t>Unchanged</t>
        </is>
      </c>
    </row>
    <row r="54">
      <c r="A54" s="12" t="n">
        <v>46312</v>
      </c>
      <c r="B54" s="13" t="inlineStr">
        <is>
          <t>20E</t>
        </is>
      </c>
      <c r="C54" s="13" t="inlineStr">
        <is>
          <t>Berth closed</t>
        </is>
      </c>
      <c r="D54" s="14" t="n">
        <v>46300</v>
      </c>
      <c r="E54" s="14" t="n">
        <v>46315</v>
      </c>
      <c r="F54" s="13" t="inlineStr">
        <is>
          <t>CLOSE (Oct 5–20 2026) printed under 20E</t>
        </is>
      </c>
      <c r="G54" s="13" t="inlineStr">
        <is>
          <t>Unchanged</t>
        </is>
      </c>
    </row>
    <row r="55">
      <c r="A55" s="12" t="n">
        <v>46313</v>
      </c>
      <c r="B55" s="13" t="inlineStr">
        <is>
          <t>20D</t>
        </is>
      </c>
      <c r="C55" s="13" t="inlineStr">
        <is>
          <t>Berth closed</t>
        </is>
      </c>
      <c r="D55" s="14" t="n">
        <v>46314</v>
      </c>
      <c r="E55" s="19" t="inlineStr">
        <is>
          <t>–</t>
        </is>
      </c>
      <c r="F55" s="13" t="inlineStr">
        <is>
          <t>20D CLOSE from Oct 19 2026 (end date not printed on the sheet)</t>
        </is>
      </c>
      <c r="G55" s="13" t="inlineStr">
        <is>
          <t>New</t>
        </is>
      </c>
    </row>
    <row r="56">
      <c r="A56" s="15" t="n">
        <v>46313</v>
      </c>
      <c r="B56" s="16" t="inlineStr">
        <is>
          <t>20E</t>
        </is>
      </c>
      <c r="C56" s="16" t="inlineStr">
        <is>
          <t>Berth closed</t>
        </is>
      </c>
      <c r="D56" s="17" t="inlineStr">
        <is>
          <t>–</t>
        </is>
      </c>
      <c r="E56" s="17" t="inlineStr">
        <is>
          <t>–</t>
        </is>
      </c>
      <c r="F56" s="16" t="inlineStr">
        <is>
          <t>(no notice – the CLOSE (Oct 5–20 2026) line under 20E is gone)</t>
        </is>
      </c>
      <c r="G56" s="16" t="inlineStr">
        <is>
          <t>Dropped from sheet: 20E closure no longer printed</t>
        </is>
      </c>
    </row>
    <row r="57">
      <c r="A57" s="12" t="n">
        <v>46314</v>
      </c>
      <c r="B57" s="13" t="inlineStr">
        <is>
          <t>20D</t>
        </is>
      </c>
      <c r="C57" s="13" t="inlineStr">
        <is>
          <t>Berth closed</t>
        </is>
      </c>
      <c r="D57" s="19" t="inlineStr">
        <is>
          <t>–</t>
        </is>
      </c>
      <c r="E57" s="19" t="inlineStr">
        <is>
          <t>–</t>
        </is>
      </c>
      <c r="F57" s="13" t="inlineStr">
        <is>
          <t>(no notice – the CLOSE from Oct 19 line is no longer printed; 20D has no vessels on this sheet)</t>
        </is>
      </c>
      <c r="G57" s="13" t="inlineStr">
        <is>
          <t>Dropped from sheet: 20D closure no longer printed</t>
        </is>
      </c>
    </row>
  </sheetData>
  <autoFilter ref="A4:G57"/>
  <mergeCells count="1">
    <mergeCell ref="A2:G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69"/>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2" customWidth="1" min="1" max="1"/>
    <col width="22" customWidth="1" min="2" max="2"/>
    <col width="9" customWidth="1" min="3" max="3"/>
    <col width="14" customWidth="1" min="4" max="4"/>
    <col width="14" customWidth="1" min="5" max="5"/>
    <col width="8" customWidth="1" min="6" max="6"/>
    <col width="22" customWidth="1" min="7" max="7"/>
    <col width="15" customWidth="1" min="8" max="8"/>
    <col width="15" customWidth="1" min="9" max="9"/>
    <col width="15" customWidth="1" min="10" max="10"/>
    <col width="18" customWidth="1" min="11" max="11"/>
    <col width="13" customWidth="1" min="12" max="12"/>
    <col width="8" customWidth="1" min="13" max="13"/>
    <col width="9" customWidth="1" min="14" max="14"/>
    <col width="22" customWidth="1" min="15" max="15"/>
  </cols>
  <sheetData>
    <row r="1">
      <c r="A1" s="1" t="inlineStr">
        <is>
          <t>PAT Berth Window — Vessel List by Berth (all sheets combined)</t>
        </is>
      </c>
    </row>
    <row r="2" ht="30" customHeight="1">
      <c r="A2" s="7" t="inlineStr">
        <is>
          <t>One row per vessel seen on any daily sheet, showing its latest known berth and times. ‘Berth history’ lists every berth it was assigned, in order. Vessels no longer on the latest sheet are shown as Sailed.</t>
        </is>
      </c>
    </row>
    <row r="3">
      <c r="A3" s="21" t="inlineStr">
        <is>
          <t>Status as of</t>
        </is>
      </c>
      <c r="B3" s="22" t="n">
        <v>46316.375</v>
      </c>
      <c r="C3" s="2" t="inlineStr">
        <is>
          <t>Snapshot time of the latest sheet (blue = editable input; change it to re-evaluate the Status column).</t>
        </is>
      </c>
    </row>
    <row r="5">
      <c r="A5" s="3" t="inlineStr">
        <is>
          <t>Latest Berth</t>
        </is>
      </c>
      <c r="B5" s="3" t="inlineStr">
        <is>
          <t>Vessel</t>
        </is>
      </c>
      <c r="C5" s="3" t="inlineStr">
        <is>
          <t>LOA (m)</t>
        </is>
      </c>
      <c r="D5" s="3" t="inlineStr">
        <is>
          <t>First seen</t>
        </is>
      </c>
      <c r="E5" s="3" t="inlineStr">
        <is>
          <t>Last seen</t>
        </is>
      </c>
      <c r="F5" s="3" t="inlineStr">
        <is>
          <t>Sheets</t>
        </is>
      </c>
      <c r="G5" s="3" t="inlineStr">
        <is>
          <t>Berth history</t>
        </is>
      </c>
      <c r="H5" s="3" t="inlineStr">
        <is>
          <t>ETA</t>
        </is>
      </c>
      <c r="I5" s="3" t="inlineStr">
        <is>
          <t>P.B</t>
        </is>
      </c>
      <c r="J5" s="3" t="inlineStr">
        <is>
          <t>ETD</t>
        </is>
      </c>
      <c r="K5" s="3" t="inlineStr">
        <is>
          <t>Waiting for Berth (h)</t>
        </is>
      </c>
      <c r="L5" s="3" t="inlineStr">
        <is>
          <t>Hours Alongside</t>
        </is>
      </c>
      <c r="M5" s="3" t="inlineStr">
        <is>
          <t>Shift</t>
        </is>
      </c>
      <c r="N5" s="3" t="inlineStr">
        <is>
          <t>Marked</t>
        </is>
      </c>
      <c r="O5" s="3" t="inlineStr">
        <is>
          <t>Status (as of cell B3)</t>
        </is>
      </c>
    </row>
    <row r="6">
      <c r="A6" s="4" t="inlineStr">
        <is>
          <t>20AB</t>
        </is>
      </c>
      <c r="B6" s="4" t="inlineStr">
        <is>
          <t>SKY CHALLENGE</t>
        </is>
      </c>
      <c r="C6" s="23" t="n">
        <v>565</v>
      </c>
      <c r="D6" s="10" t="n">
        <v>46293</v>
      </c>
      <c r="E6" s="10" t="n">
        <v>46295</v>
      </c>
      <c r="F6" s="23" t="n">
        <v>3</v>
      </c>
      <c r="G6" s="5" t="inlineStr">
        <is>
          <t>20AB</t>
        </is>
      </c>
      <c r="H6" s="11" t="n">
        <v>46294.33333333334</v>
      </c>
      <c r="I6" s="11" t="n">
        <v>46294.66666666666</v>
      </c>
      <c r="J6" s="11" t="n">
        <v>46296.16666666666</v>
      </c>
      <c r="K6" s="24">
        <f>(I6-H6)*24</f>
        <v/>
      </c>
      <c r="L6" s="24">
        <f>(J6-I6)*24</f>
        <v/>
      </c>
      <c r="M6" s="23" t="inlineStr">
        <is>
          <t>–</t>
        </is>
      </c>
      <c r="N6" s="23" t="inlineStr"/>
      <c r="O6" s="23" t="inlineStr">
        <is>
          <t>Sailed</t>
        </is>
      </c>
    </row>
    <row r="7">
      <c r="A7" s="4" t="inlineStr">
        <is>
          <t>20AB</t>
        </is>
      </c>
      <c r="B7" s="4" t="inlineStr">
        <is>
          <t>RESURGENCE</t>
        </is>
      </c>
      <c r="C7" s="23" t="n">
        <v>458</v>
      </c>
      <c r="D7" s="10" t="n">
        <v>46296</v>
      </c>
      <c r="E7" s="10" t="n">
        <v>46299</v>
      </c>
      <c r="F7" s="23" t="n">
        <v>4</v>
      </c>
      <c r="G7" s="6" t="inlineStr">
        <is>
          <t>20E → 20AB</t>
        </is>
      </c>
      <c r="H7" s="11" t="n">
        <v>46298.5</v>
      </c>
      <c r="I7" s="11" t="n">
        <v>46298.5</v>
      </c>
      <c r="J7" s="11" t="n">
        <v>46299.70833333334</v>
      </c>
      <c r="K7" s="24">
        <f>(I7-H7)*24</f>
        <v/>
      </c>
      <c r="L7" s="24">
        <f>(J7-I7)*24</f>
        <v/>
      </c>
      <c r="M7" s="23" t="inlineStr">
        <is>
          <t>–</t>
        </is>
      </c>
      <c r="N7" s="23" t="inlineStr"/>
      <c r="O7" s="23" t="inlineStr">
        <is>
          <t>Sailed</t>
        </is>
      </c>
    </row>
    <row r="8">
      <c r="A8" s="4" t="inlineStr">
        <is>
          <t>20AB</t>
        </is>
      </c>
      <c r="B8" s="4" t="inlineStr">
        <is>
          <t>ZHONG GU BEI HAI</t>
        </is>
      </c>
      <c r="C8" s="23" t="n">
        <v>561</v>
      </c>
      <c r="D8" s="10" t="n">
        <v>46296</v>
      </c>
      <c r="E8" s="10" t="n">
        <v>46301</v>
      </c>
      <c r="F8" s="23" t="n">
        <v>6</v>
      </c>
      <c r="G8" s="6" t="inlineStr">
        <is>
          <t>20B → 20AB</t>
        </is>
      </c>
      <c r="H8" s="11" t="n">
        <v>46299.375</v>
      </c>
      <c r="I8" s="11" t="n">
        <v>46299.625</v>
      </c>
      <c r="J8" s="11" t="n">
        <v>46301.45833333334</v>
      </c>
      <c r="K8" s="24">
        <f>(I8-H8)*24</f>
        <v/>
      </c>
      <c r="L8" s="24">
        <f>(J8-I8)*24</f>
        <v/>
      </c>
      <c r="M8" s="23" t="inlineStr">
        <is>
          <t>–</t>
        </is>
      </c>
      <c r="N8" s="23" t="inlineStr"/>
      <c r="O8" s="23" t="inlineStr">
        <is>
          <t>Sailed</t>
        </is>
      </c>
    </row>
    <row r="9">
      <c r="A9" s="4" t="inlineStr">
        <is>
          <t>20AB</t>
        </is>
      </c>
      <c r="B9" s="4" t="inlineStr">
        <is>
          <t>KMTC TOKYO</t>
        </is>
      </c>
      <c r="C9" s="23" t="n">
        <v>565</v>
      </c>
      <c r="D9" s="10" t="n">
        <v>46299</v>
      </c>
      <c r="E9" s="10" t="n">
        <v>46303</v>
      </c>
      <c r="F9" s="23" t="n">
        <v>5</v>
      </c>
      <c r="G9" s="6" t="inlineStr">
        <is>
          <t>20F → 20AB</t>
        </is>
      </c>
      <c r="H9" s="11" t="n">
        <v>46301.54166666666</v>
      </c>
      <c r="I9" s="11" t="n">
        <v>46301.54166666666</v>
      </c>
      <c r="J9" s="11" t="n">
        <v>46303.5</v>
      </c>
      <c r="K9" s="24">
        <f>(I9-H9)*24</f>
        <v/>
      </c>
      <c r="L9" s="24">
        <f>(J9-I9)*24</f>
        <v/>
      </c>
      <c r="M9" s="23" t="inlineStr">
        <is>
          <t>–</t>
        </is>
      </c>
      <c r="N9" s="23" t="inlineStr"/>
      <c r="O9" s="23" t="inlineStr">
        <is>
          <t>Sailed</t>
        </is>
      </c>
    </row>
    <row r="10">
      <c r="A10" s="4" t="inlineStr">
        <is>
          <t>20AB</t>
        </is>
      </c>
      <c r="B10" s="4" t="inlineStr">
        <is>
          <t>KANWAY FORTUNE</t>
        </is>
      </c>
      <c r="C10" s="23" t="n">
        <v>564</v>
      </c>
      <c r="D10" s="10" t="n">
        <v>46301</v>
      </c>
      <c r="E10" s="10" t="n">
        <v>46305</v>
      </c>
      <c r="F10" s="23" t="n">
        <v>5</v>
      </c>
      <c r="G10" s="6" t="inlineStr">
        <is>
          <t>20D → 20F → 20AB</t>
        </is>
      </c>
      <c r="H10" s="11" t="n">
        <v>46303.66666666666</v>
      </c>
      <c r="I10" s="11" t="n">
        <v>46304.58333333334</v>
      </c>
      <c r="J10" s="11" t="n">
        <v>46305.625</v>
      </c>
      <c r="K10" s="24">
        <f>(I10-H10)*24</f>
        <v/>
      </c>
      <c r="L10" s="24">
        <f>(J10-I10)*24</f>
        <v/>
      </c>
      <c r="M10" s="23" t="inlineStr">
        <is>
          <t>–</t>
        </is>
      </c>
      <c r="N10" s="23" t="inlineStr"/>
      <c r="O10" s="23" t="inlineStr">
        <is>
          <t>Sailed</t>
        </is>
      </c>
    </row>
    <row r="11">
      <c r="A11" s="4" t="inlineStr">
        <is>
          <t>20AB</t>
        </is>
      </c>
      <c r="B11" s="4" t="inlineStr">
        <is>
          <t>CNC MARS</t>
        </is>
      </c>
      <c r="C11" s="23" t="n">
        <v>564</v>
      </c>
      <c r="D11" s="10" t="n">
        <v>46302</v>
      </c>
      <c r="E11" s="10" t="n">
        <v>46306</v>
      </c>
      <c r="F11" s="23" t="n">
        <v>5</v>
      </c>
      <c r="G11" s="5" t="inlineStr">
        <is>
          <t>20AB</t>
        </is>
      </c>
      <c r="H11" s="11" t="n">
        <v>46304.91666666666</v>
      </c>
      <c r="I11" s="11" t="n">
        <v>46305.625</v>
      </c>
      <c r="J11" s="11" t="n">
        <v>46306.625</v>
      </c>
      <c r="K11" s="24">
        <f>(I11-H11)*24</f>
        <v/>
      </c>
      <c r="L11" s="24">
        <f>(J11-I11)*24</f>
        <v/>
      </c>
      <c r="M11" s="23" t="inlineStr">
        <is>
          <t>–</t>
        </is>
      </c>
      <c r="N11" s="23" t="inlineStr"/>
      <c r="O11" s="23" t="inlineStr">
        <is>
          <t>Sailed</t>
        </is>
      </c>
    </row>
    <row r="12">
      <c r="A12" s="4" t="inlineStr">
        <is>
          <t>20AB</t>
        </is>
      </c>
      <c r="B12" s="4" t="inlineStr">
        <is>
          <t>SAMAL</t>
        </is>
      </c>
      <c r="C12" s="23" t="n">
        <v>564</v>
      </c>
      <c r="D12" s="10" t="n">
        <v>46304</v>
      </c>
      <c r="E12" s="10" t="n">
        <v>46308</v>
      </c>
      <c r="F12" s="23" t="n">
        <v>5</v>
      </c>
      <c r="G12" s="6" t="inlineStr">
        <is>
          <t>20AB → 20F → 20AB</t>
        </is>
      </c>
      <c r="H12" s="11" t="n">
        <v>46307.375</v>
      </c>
      <c r="I12" s="11" t="n">
        <v>46307.66666666666</v>
      </c>
      <c r="J12" s="11" t="n">
        <v>46309.20833333334</v>
      </c>
      <c r="K12" s="24">
        <f>(I12-H12)*24</f>
        <v/>
      </c>
      <c r="L12" s="24">
        <f>(J12-I12)*24</f>
        <v/>
      </c>
      <c r="M12" s="23" t="inlineStr">
        <is>
          <t>–</t>
        </is>
      </c>
      <c r="N12" s="23" t="inlineStr"/>
      <c r="O12" s="23" t="inlineStr">
        <is>
          <t>Sailed</t>
        </is>
      </c>
    </row>
    <row r="13">
      <c r="A13" s="4" t="inlineStr">
        <is>
          <t>20AB</t>
        </is>
      </c>
      <c r="B13" s="4" t="inlineStr">
        <is>
          <t>KMTC TAIPEIS</t>
        </is>
      </c>
      <c r="C13" s="23" t="n">
        <v>565</v>
      </c>
      <c r="D13" s="10" t="n">
        <v>46304</v>
      </c>
      <c r="E13" s="10" t="n">
        <v>46309</v>
      </c>
      <c r="F13" s="23" t="n">
        <v>6</v>
      </c>
      <c r="G13" s="6" t="inlineStr">
        <is>
          <t>20D → 20C → 20AB</t>
        </is>
      </c>
      <c r="H13" s="11" t="n">
        <v>46308.08333333334</v>
      </c>
      <c r="I13" s="11" t="n">
        <v>46309.20833333334</v>
      </c>
      <c r="J13" s="11" t="n">
        <v>46310.33333333334</v>
      </c>
      <c r="K13" s="24">
        <f>(I13-H13)*24</f>
        <v/>
      </c>
      <c r="L13" s="24">
        <f>(J13-I13)*24</f>
        <v/>
      </c>
      <c r="M13" s="23" t="inlineStr">
        <is>
          <t>–</t>
        </is>
      </c>
      <c r="N13" s="23" t="inlineStr"/>
      <c r="O13" s="23" t="inlineStr">
        <is>
          <t>Sailed</t>
        </is>
      </c>
    </row>
    <row r="14">
      <c r="A14" s="4" t="inlineStr">
        <is>
          <t>20AB</t>
        </is>
      </c>
      <c r="B14" s="4" t="inlineStr">
        <is>
          <t>WAN HAI 176</t>
        </is>
      </c>
      <c r="C14" s="23" t="n">
        <v>564</v>
      </c>
      <c r="D14" s="10" t="n">
        <v>46308</v>
      </c>
      <c r="E14" s="10" t="n">
        <v>46311</v>
      </c>
      <c r="F14" s="23" t="n">
        <v>4</v>
      </c>
      <c r="G14" s="6" t="inlineStr">
        <is>
          <t>20B → 20AB</t>
        </is>
      </c>
      <c r="H14" s="11" t="n">
        <v>46310.33333333334</v>
      </c>
      <c r="I14" s="11" t="n">
        <v>46310.375</v>
      </c>
      <c r="J14" s="11" t="n">
        <v>46311.66666666666</v>
      </c>
      <c r="K14" s="24">
        <f>(I14-H14)*24</f>
        <v/>
      </c>
      <c r="L14" s="24">
        <f>(J14-I14)*24</f>
        <v/>
      </c>
      <c r="M14" s="23" t="inlineStr">
        <is>
          <t>–</t>
        </is>
      </c>
      <c r="N14" s="23" t="inlineStr"/>
      <c r="O14" s="23" t="inlineStr">
        <is>
          <t>Sailed</t>
        </is>
      </c>
    </row>
    <row r="15">
      <c r="A15" s="4" t="inlineStr">
        <is>
          <t>20AB</t>
        </is>
      </c>
      <c r="B15" s="4" t="inlineStr">
        <is>
          <t>BANGKOK</t>
        </is>
      </c>
      <c r="C15" s="23" t="n">
        <v>551</v>
      </c>
      <c r="D15" s="10" t="n">
        <v>46293</v>
      </c>
      <c r="E15" s="10" t="n">
        <v>46313</v>
      </c>
      <c r="F15" s="23" t="n">
        <v>6</v>
      </c>
      <c r="G15" s="6" t="inlineStr">
        <is>
          <t>20D → 20AB</t>
        </is>
      </c>
      <c r="H15" s="11" t="n">
        <v>46311.625</v>
      </c>
      <c r="I15" s="11" t="n">
        <v>46312.375</v>
      </c>
      <c r="J15" s="11" t="n">
        <v>46314.33333333334</v>
      </c>
      <c r="K15" s="24">
        <f>(I15-H15)*24</f>
        <v/>
      </c>
      <c r="L15" s="24">
        <f>(J15-I15)*24</f>
        <v/>
      </c>
      <c r="M15" s="23" t="inlineStr">
        <is>
          <t>–</t>
        </is>
      </c>
      <c r="N15" s="23" t="inlineStr"/>
      <c r="O15" s="23" t="inlineStr">
        <is>
          <t>Sailed</t>
        </is>
      </c>
    </row>
    <row r="16">
      <c r="A16" s="25" t="inlineStr">
        <is>
          <t>20AB</t>
        </is>
      </c>
      <c r="B16" s="25" t="inlineStr">
        <is>
          <t>HOPE C</t>
        </is>
      </c>
      <c r="C16" s="17" t="n">
        <v>481</v>
      </c>
      <c r="D16" s="18" t="n">
        <v>46293</v>
      </c>
      <c r="E16" s="18" t="n">
        <v>46316</v>
      </c>
      <c r="F16" s="17" t="n">
        <v>6</v>
      </c>
      <c r="G16" s="6" t="inlineStr">
        <is>
          <t>20E → 20F → 20AB</t>
        </is>
      </c>
      <c r="H16" s="20" t="n">
        <v>46316.08333333334</v>
      </c>
      <c r="I16" s="20" t="n">
        <v>46316.375</v>
      </c>
      <c r="J16" s="20" t="n">
        <v>46316.91666666666</v>
      </c>
      <c r="K16" s="26">
        <f>(I16-H16)*24</f>
        <v/>
      </c>
      <c r="L16" s="26">
        <f>(J16-I16)*24</f>
        <v/>
      </c>
      <c r="M16" s="17" t="inlineStr">
        <is>
          <t>4A</t>
        </is>
      </c>
      <c r="N16" s="17" t="inlineStr">
        <is>
          <t>Yes</t>
        </is>
      </c>
      <c r="O16" s="17">
        <f>IF(J16&lt;=$B$3,"Sailed",IF(I16&lt;=$B$3,"Alongside",IF(H16&lt;=$B$3,"At anchorage","Expected")))</f>
        <v/>
      </c>
    </row>
    <row r="17">
      <c r="A17" s="4" t="inlineStr">
        <is>
          <t>20AB</t>
        </is>
      </c>
      <c r="B17" s="4" t="inlineStr">
        <is>
          <t>ALS SUMIRE</t>
        </is>
      </c>
      <c r="C17" s="23" t="n">
        <v>537</v>
      </c>
      <c r="D17" s="10" t="n">
        <v>46294</v>
      </c>
      <c r="E17" s="10" t="n">
        <v>46316</v>
      </c>
      <c r="F17" s="23" t="n">
        <v>12</v>
      </c>
      <c r="G17" s="6" t="inlineStr">
        <is>
          <t>20F → 20D → 20C → 20B → 20F → 20E → 20AB</t>
        </is>
      </c>
      <c r="H17" s="11" t="n">
        <v>46316.91666666666</v>
      </c>
      <c r="I17" s="11" t="n">
        <v>46317.54166666666</v>
      </c>
      <c r="J17" s="11" t="n">
        <v>46318.66666666666</v>
      </c>
      <c r="K17" s="24">
        <f>(I17-H17)*24</f>
        <v/>
      </c>
      <c r="L17" s="24">
        <f>(J17-I17)*24</f>
        <v/>
      </c>
      <c r="M17" s="23" t="inlineStr">
        <is>
          <t>1C</t>
        </is>
      </c>
      <c r="N17" s="23" t="inlineStr"/>
      <c r="O17" s="23">
        <f>IF(J17&lt;=$B$3,"Sailed",IF(I17&lt;=$B$3,"Alongside",IF(H17&lt;=$B$3,"At anchorage","Expected")))</f>
        <v/>
      </c>
    </row>
    <row r="18">
      <c r="A18" s="4" t="inlineStr">
        <is>
          <t>20AB</t>
        </is>
      </c>
      <c r="B18" s="4" t="inlineStr">
        <is>
          <t>KMTC GWANGYANG</t>
        </is>
      </c>
      <c r="C18" s="23" t="n">
        <v>564</v>
      </c>
      <c r="D18" s="10" t="n">
        <v>46293</v>
      </c>
      <c r="E18" s="10" t="n">
        <v>46316</v>
      </c>
      <c r="F18" s="23" t="n">
        <v>3</v>
      </c>
      <c r="G18" s="6" t="inlineStr">
        <is>
          <t>20B → 20AB</t>
        </is>
      </c>
      <c r="H18" s="11" t="n">
        <v>46317.58333333334</v>
      </c>
      <c r="I18" s="11" t="n">
        <v>46318.58333333334</v>
      </c>
      <c r="J18" s="11" t="n">
        <v>46320.08333333334</v>
      </c>
      <c r="K18" s="24">
        <f>(I18-H18)*24</f>
        <v/>
      </c>
      <c r="L18" s="24">
        <f>(J18-I18)*24</f>
        <v/>
      </c>
      <c r="M18" s="23" t="inlineStr">
        <is>
          <t>–</t>
        </is>
      </c>
      <c r="N18" s="23" t="inlineStr"/>
      <c r="O18" s="23">
        <f>IF(J18&lt;=$B$3,"Sailed",IF(I18&lt;=$B$3,"Alongside",IF(H18&lt;=$B$3,"At anchorage","Expected")))</f>
        <v/>
      </c>
    </row>
    <row r="19">
      <c r="A19" s="27" t="inlineStr">
        <is>
          <t>20B</t>
        </is>
      </c>
      <c r="B19" s="27" t="inlineStr">
        <is>
          <t>YM IMPROVEMENT</t>
        </is>
      </c>
      <c r="C19" s="28" t="n">
        <v>564</v>
      </c>
      <c r="D19" s="29" t="n">
        <v>46296</v>
      </c>
      <c r="E19" s="29" t="n">
        <v>46300</v>
      </c>
      <c r="F19" s="28" t="n">
        <v>5</v>
      </c>
      <c r="G19" s="30" t="inlineStr">
        <is>
          <t>20C → 20B</t>
        </is>
      </c>
      <c r="H19" s="31" t="n">
        <v>46298.95833333334</v>
      </c>
      <c r="I19" s="31" t="n">
        <v>46299.41666666666</v>
      </c>
      <c r="J19" s="31" t="n">
        <v>46300.5</v>
      </c>
      <c r="K19" s="32">
        <f>(I19-H19)*24</f>
        <v/>
      </c>
      <c r="L19" s="32">
        <f>(J19-I19)*24</f>
        <v/>
      </c>
      <c r="M19" s="28" t="inlineStr">
        <is>
          <t>–</t>
        </is>
      </c>
      <c r="N19" s="28" t="inlineStr"/>
      <c r="O19" s="28" t="inlineStr">
        <is>
          <t>Sailed</t>
        </is>
      </c>
    </row>
    <row r="20">
      <c r="A20" s="4" t="inlineStr">
        <is>
          <t>20B</t>
        </is>
      </c>
      <c r="B20" s="4" t="inlineStr">
        <is>
          <t>SAWASDEE SPICA</t>
        </is>
      </c>
      <c r="C20" s="23" t="n">
        <v>564</v>
      </c>
      <c r="D20" s="10" t="n">
        <v>46299</v>
      </c>
      <c r="E20" s="10" t="n">
        <v>46303</v>
      </c>
      <c r="F20" s="23" t="n">
        <v>5</v>
      </c>
      <c r="G20" s="5" t="inlineStr">
        <is>
          <t>20B</t>
        </is>
      </c>
      <c r="H20" s="11" t="n">
        <v>46300.875</v>
      </c>
      <c r="I20" s="11" t="n">
        <v>46301.54166666666</v>
      </c>
      <c r="J20" s="11" t="n">
        <v>46303.54166666666</v>
      </c>
      <c r="K20" s="24">
        <f>(I20-H20)*24</f>
        <v/>
      </c>
      <c r="L20" s="24">
        <f>(J20-I20)*24</f>
        <v/>
      </c>
      <c r="M20" s="23" t="inlineStr">
        <is>
          <t>–</t>
        </is>
      </c>
      <c r="N20" s="23" t="inlineStr"/>
      <c r="O20" s="23" t="inlineStr">
        <is>
          <t>Sailed</t>
        </is>
      </c>
    </row>
    <row r="21">
      <c r="A21" s="4" t="inlineStr">
        <is>
          <t>20B</t>
        </is>
      </c>
      <c r="B21" s="4" t="inlineStr">
        <is>
          <t>SITC HOCHIMINH</t>
        </is>
      </c>
      <c r="C21" s="23" t="n">
        <v>470</v>
      </c>
      <c r="D21" s="10" t="n">
        <v>46301</v>
      </c>
      <c r="E21" s="10" t="n">
        <v>46304</v>
      </c>
      <c r="F21" s="23" t="n">
        <v>4</v>
      </c>
      <c r="G21" s="6" t="inlineStr">
        <is>
          <t>20AB → 20B</t>
        </is>
      </c>
      <c r="H21" s="11" t="n">
        <v>46302.625</v>
      </c>
      <c r="I21" s="11" t="n">
        <v>46303.58333333334</v>
      </c>
      <c r="J21" s="11" t="n">
        <v>46304.70833333334</v>
      </c>
      <c r="K21" s="24">
        <f>(I21-H21)*24</f>
        <v/>
      </c>
      <c r="L21" s="24">
        <f>(J21-I21)*24</f>
        <v/>
      </c>
      <c r="M21" s="23" t="inlineStr">
        <is>
          <t>–</t>
        </is>
      </c>
      <c r="N21" s="23" t="inlineStr"/>
      <c r="O21" s="23" t="inlineStr">
        <is>
          <t>Sailed</t>
        </is>
      </c>
    </row>
    <row r="22">
      <c r="A22" s="4" t="inlineStr">
        <is>
          <t>20B</t>
        </is>
      </c>
      <c r="B22" s="4" t="inlineStr">
        <is>
          <t>INDURO</t>
        </is>
      </c>
      <c r="C22" s="23" t="n">
        <v>565</v>
      </c>
      <c r="D22" s="10" t="n">
        <v>46302</v>
      </c>
      <c r="E22" s="10" t="n">
        <v>46305</v>
      </c>
      <c r="F22" s="23" t="n">
        <v>4</v>
      </c>
      <c r="G22" s="5" t="inlineStr">
        <is>
          <t>20B</t>
        </is>
      </c>
      <c r="H22" s="11" t="n">
        <v>46304.25</v>
      </c>
      <c r="I22" s="11" t="n">
        <v>46304.66666666666</v>
      </c>
      <c r="J22" s="11" t="n">
        <v>46306.16666666666</v>
      </c>
      <c r="K22" s="24">
        <f>(I22-H22)*24</f>
        <v/>
      </c>
      <c r="L22" s="24">
        <f>(J22-I22)*24</f>
        <v/>
      </c>
      <c r="M22" s="23" t="inlineStr">
        <is>
          <t>–</t>
        </is>
      </c>
      <c r="N22" s="23" t="inlineStr"/>
      <c r="O22" s="23" t="inlineStr">
        <is>
          <t>Sailed</t>
        </is>
      </c>
    </row>
    <row r="23">
      <c r="A23" s="4" t="inlineStr">
        <is>
          <t>20B</t>
        </is>
      </c>
      <c r="B23" s="4" t="inlineStr">
        <is>
          <t>XIN MING ZHOU 102</t>
        </is>
      </c>
      <c r="C23" s="23" t="n">
        <v>564</v>
      </c>
      <c r="D23" s="10" t="n">
        <v>46302</v>
      </c>
      <c r="E23" s="10" t="n">
        <v>46306</v>
      </c>
      <c r="F23" s="23" t="n">
        <v>5</v>
      </c>
      <c r="G23" s="6" t="inlineStr">
        <is>
          <t>20F → 20B</t>
        </is>
      </c>
      <c r="H23" s="11" t="n">
        <v>46305.875</v>
      </c>
      <c r="I23" s="11" t="n">
        <v>46306.20833333334</v>
      </c>
      <c r="J23" s="11" t="n">
        <v>46307.08333333334</v>
      </c>
      <c r="K23" s="24">
        <f>(I23-H23)*24</f>
        <v/>
      </c>
      <c r="L23" s="24">
        <f>(J23-I23)*24</f>
        <v/>
      </c>
      <c r="M23" s="23" t="inlineStr">
        <is>
          <t>–</t>
        </is>
      </c>
      <c r="N23" s="23" t="inlineStr"/>
      <c r="O23" s="23" t="inlineStr">
        <is>
          <t>Sailed</t>
        </is>
      </c>
    </row>
    <row r="24">
      <c r="A24" s="4" t="inlineStr">
        <is>
          <t>20B</t>
        </is>
      </c>
      <c r="B24" s="4" t="inlineStr">
        <is>
          <t>CEBU</t>
        </is>
      </c>
      <c r="C24" s="23" t="n">
        <v>564</v>
      </c>
      <c r="D24" s="10" t="n">
        <v>46306</v>
      </c>
      <c r="E24" s="10" t="n">
        <v>46309</v>
      </c>
      <c r="F24" s="23" t="n">
        <v>4</v>
      </c>
      <c r="G24" s="6" t="inlineStr">
        <is>
          <t>20AB → 20B</t>
        </is>
      </c>
      <c r="H24" s="11" t="n">
        <v>46307.91666666666</v>
      </c>
      <c r="I24" s="11" t="n">
        <v>46308.25</v>
      </c>
      <c r="J24" s="11" t="n">
        <v>46309.54166666666</v>
      </c>
      <c r="K24" s="24">
        <f>(I24-H24)*24</f>
        <v/>
      </c>
      <c r="L24" s="24">
        <f>(J24-I24)*24</f>
        <v/>
      </c>
      <c r="M24" s="23" t="inlineStr">
        <is>
          <t>–</t>
        </is>
      </c>
      <c r="N24" s="23" t="inlineStr"/>
      <c r="O24" s="23" t="inlineStr">
        <is>
          <t>Sailed</t>
        </is>
      </c>
    </row>
    <row r="25">
      <c r="A25" s="4" t="inlineStr">
        <is>
          <t>20B</t>
        </is>
      </c>
      <c r="B25" s="4" t="inlineStr">
        <is>
          <t>M ODYSSEY</t>
        </is>
      </c>
      <c r="C25" s="23" t="n">
        <v>449</v>
      </c>
      <c r="D25" s="10" t="n">
        <v>46293</v>
      </c>
      <c r="E25" s="10" t="n">
        <v>46309</v>
      </c>
      <c r="F25" s="23" t="n">
        <v>6</v>
      </c>
      <c r="G25" s="6" t="inlineStr">
        <is>
          <t>20B → 20C → 20B</t>
        </is>
      </c>
      <c r="H25" s="11" t="n">
        <v>46309.04166666666</v>
      </c>
      <c r="I25" s="11" t="n">
        <v>46309.625</v>
      </c>
      <c r="J25" s="11" t="n">
        <v>46310.20833333334</v>
      </c>
      <c r="K25" s="24">
        <f>(I25-H25)*24</f>
        <v/>
      </c>
      <c r="L25" s="24">
        <f>(J25-I25)*24</f>
        <v/>
      </c>
      <c r="M25" s="23" t="inlineStr">
        <is>
          <t>4A</t>
        </is>
      </c>
      <c r="N25" s="23" t="inlineStr"/>
      <c r="O25" s="23" t="inlineStr">
        <is>
          <t>Sailed</t>
        </is>
      </c>
    </row>
    <row r="26">
      <c r="A26" s="4" t="inlineStr">
        <is>
          <t>20B</t>
        </is>
      </c>
      <c r="B26" s="4" t="inlineStr">
        <is>
          <t>KHARIS HERITAGE</t>
        </is>
      </c>
      <c r="C26" s="23" t="n">
        <v>482</v>
      </c>
      <c r="D26" s="10" t="n">
        <v>46294</v>
      </c>
      <c r="E26" s="10" t="n">
        <v>46310</v>
      </c>
      <c r="F26" s="23" t="n">
        <v>7</v>
      </c>
      <c r="G26" s="6" t="inlineStr">
        <is>
          <t>20AB → 20B → 20C → 20B</t>
        </is>
      </c>
      <c r="H26" s="11" t="n">
        <v>46310.04166666666</v>
      </c>
      <c r="I26" s="11" t="n">
        <v>46310.25</v>
      </c>
      <c r="J26" s="11" t="n">
        <v>46311.29166666666</v>
      </c>
      <c r="K26" s="24">
        <f>(I26-H26)*24</f>
        <v/>
      </c>
      <c r="L26" s="24">
        <f>(J26-I26)*24</f>
        <v/>
      </c>
      <c r="M26" s="23" t="inlineStr">
        <is>
          <t>–</t>
        </is>
      </c>
      <c r="N26" s="23" t="inlineStr"/>
      <c r="O26" s="23" t="inlineStr">
        <is>
          <t>Sailed</t>
        </is>
      </c>
    </row>
    <row r="27">
      <c r="A27" s="4" t="inlineStr">
        <is>
          <t>20B</t>
        </is>
      </c>
      <c r="B27" s="4" t="inlineStr">
        <is>
          <t>TS CHIBA</t>
        </is>
      </c>
      <c r="C27" s="23" t="n">
        <v>485</v>
      </c>
      <c r="D27" s="10" t="n">
        <v>46293</v>
      </c>
      <c r="E27" s="10" t="n">
        <v>46312</v>
      </c>
      <c r="F27" s="23" t="n">
        <v>4</v>
      </c>
      <c r="G27" s="6" t="inlineStr">
        <is>
          <t>20E → 20C → 20B</t>
        </is>
      </c>
      <c r="H27" s="11" t="n">
        <v>46311.58333333334</v>
      </c>
      <c r="I27" s="11" t="n">
        <v>46311.58333333334</v>
      </c>
      <c r="J27" s="11" t="n">
        <v>46312.45833333334</v>
      </c>
      <c r="K27" s="24">
        <f>(I27-H27)*24</f>
        <v/>
      </c>
      <c r="L27" s="24">
        <f>(J27-I27)*24</f>
        <v/>
      </c>
      <c r="M27" s="23" t="inlineStr">
        <is>
          <t>–</t>
        </is>
      </c>
      <c r="N27" s="23" t="inlineStr"/>
      <c r="O27" s="23" t="inlineStr">
        <is>
          <t>Sailed</t>
        </is>
      </c>
    </row>
    <row r="28">
      <c r="A28" s="4" t="inlineStr">
        <is>
          <t>20B</t>
        </is>
      </c>
      <c r="B28" s="4" t="inlineStr">
        <is>
          <t>JARU BHUM</t>
        </is>
      </c>
      <c r="C28" s="23" t="n">
        <v>564</v>
      </c>
      <c r="D28" s="10" t="n">
        <v>46293</v>
      </c>
      <c r="E28" s="10" t="n">
        <v>46313</v>
      </c>
      <c r="F28" s="23" t="n">
        <v>5</v>
      </c>
      <c r="G28" s="6" t="inlineStr">
        <is>
          <t>20F → 20D → 20B</t>
        </is>
      </c>
      <c r="H28" s="11" t="n">
        <v>46312.66666666666</v>
      </c>
      <c r="I28" s="11" t="n">
        <v>46312.66666666666</v>
      </c>
      <c r="J28" s="11" t="n">
        <v>46313.41666666666</v>
      </c>
      <c r="K28" s="24">
        <f>(I28-H28)*24</f>
        <v/>
      </c>
      <c r="L28" s="24">
        <f>(J28-I28)*24</f>
        <v/>
      </c>
      <c r="M28" s="23" t="inlineStr">
        <is>
          <t>7B</t>
        </is>
      </c>
      <c r="N28" s="23" t="inlineStr"/>
      <c r="O28" s="23" t="inlineStr">
        <is>
          <t>Sailed</t>
        </is>
      </c>
    </row>
    <row r="29">
      <c r="A29" s="4" t="inlineStr">
        <is>
          <t>20B</t>
        </is>
      </c>
      <c r="B29" s="4" t="inlineStr">
        <is>
          <t>KMTC JAKARTA</t>
        </is>
      </c>
      <c r="C29" s="23" t="n">
        <v>564</v>
      </c>
      <c r="D29" s="10" t="n">
        <v>46310</v>
      </c>
      <c r="E29" s="10" t="n">
        <v>46315</v>
      </c>
      <c r="F29" s="23" t="n">
        <v>6</v>
      </c>
      <c r="G29" s="6" t="inlineStr">
        <is>
          <t>20F → 20B</t>
        </is>
      </c>
      <c r="H29" s="11" t="n">
        <v>46314.41666666666</v>
      </c>
      <c r="I29" s="11" t="n">
        <v>46314.41666666666</v>
      </c>
      <c r="J29" s="11" t="n">
        <v>46315.70833333334</v>
      </c>
      <c r="K29" s="24">
        <f>(I29-H29)*24</f>
        <v/>
      </c>
      <c r="L29" s="24">
        <f>(J29-I29)*24</f>
        <v/>
      </c>
      <c r="M29" s="23" t="inlineStr">
        <is>
          <t>–</t>
        </is>
      </c>
      <c r="N29" s="23" t="inlineStr"/>
      <c r="O29" s="23" t="inlineStr">
        <is>
          <t>Sailed</t>
        </is>
      </c>
    </row>
    <row r="30">
      <c r="A30" s="4" t="inlineStr">
        <is>
          <t>20B</t>
        </is>
      </c>
      <c r="B30" s="4" t="inlineStr">
        <is>
          <t>MITRA BHUM</t>
        </is>
      </c>
      <c r="C30" s="23" t="n">
        <v>485</v>
      </c>
      <c r="D30" s="10" t="n">
        <v>46293</v>
      </c>
      <c r="E30" s="10" t="n">
        <v>46316</v>
      </c>
      <c r="F30" s="23" t="n">
        <v>9</v>
      </c>
      <c r="G30" s="6" t="inlineStr">
        <is>
          <t>20F → 20E → 20D → 20AB → 20C → 20B</t>
        </is>
      </c>
      <c r="H30" s="11" t="n">
        <v>46316.54166666666</v>
      </c>
      <c r="I30" s="11" t="n">
        <v>46316.54166666666</v>
      </c>
      <c r="J30" s="11" t="n">
        <v>46317.20833333334</v>
      </c>
      <c r="K30" s="24">
        <f>(I30-H30)*24</f>
        <v/>
      </c>
      <c r="L30" s="24">
        <f>(J30-I30)*24</f>
        <v/>
      </c>
      <c r="M30" s="23" t="inlineStr">
        <is>
          <t>–</t>
        </is>
      </c>
      <c r="N30" s="23" t="inlineStr"/>
      <c r="O30" s="23">
        <f>IF(J30&lt;=$B$3,"Sailed",IF(I30&lt;=$B$3,"Alongside",IF(H30&lt;=$B$3,"At anchorage","Expected")))</f>
        <v/>
      </c>
    </row>
    <row r="31">
      <c r="A31" s="4" t="inlineStr">
        <is>
          <t>20B</t>
        </is>
      </c>
      <c r="B31" s="4" t="inlineStr">
        <is>
          <t>GREEN PARK</t>
        </is>
      </c>
      <c r="C31" s="23" t="n">
        <v>482</v>
      </c>
      <c r="D31" s="10" t="n">
        <v>46300</v>
      </c>
      <c r="E31" s="10" t="n">
        <v>46316</v>
      </c>
      <c r="F31" s="23" t="n">
        <v>8</v>
      </c>
      <c r="G31" s="6" t="inlineStr">
        <is>
          <t>20AB → 20B → 20AB → 20F → 20B</t>
        </is>
      </c>
      <c r="H31" s="11" t="n">
        <v>46316.58333333334</v>
      </c>
      <c r="I31" s="11" t="n">
        <v>46317.58333333334</v>
      </c>
      <c r="J31" s="11" t="n">
        <v>46318.54166666666</v>
      </c>
      <c r="K31" s="24">
        <f>(I31-H31)*24</f>
        <v/>
      </c>
      <c r="L31" s="24">
        <f>(J31-I31)*24</f>
        <v/>
      </c>
      <c r="M31" s="23" t="inlineStr">
        <is>
          <t>–</t>
        </is>
      </c>
      <c r="N31" s="23" t="inlineStr"/>
      <c r="O31" s="23">
        <f>IF(J31&lt;=$B$3,"Sailed",IF(I31&lt;=$B$3,"Alongside",IF(H31&lt;=$B$3,"At anchorage","Expected")))</f>
        <v/>
      </c>
    </row>
    <row r="32">
      <c r="A32" s="4" t="inlineStr">
        <is>
          <t>20B</t>
        </is>
      </c>
      <c r="B32" s="4" t="inlineStr">
        <is>
          <t>CA MANILA</t>
        </is>
      </c>
      <c r="C32" s="23" t="n">
        <v>548</v>
      </c>
      <c r="D32" s="10" t="n">
        <v>46315</v>
      </c>
      <c r="E32" s="10" t="n">
        <v>46316</v>
      </c>
      <c r="F32" s="23" t="n">
        <v>2</v>
      </c>
      <c r="G32" s="6" t="inlineStr">
        <is>
          <t>20C → 20B</t>
        </is>
      </c>
      <c r="H32" s="11" t="n">
        <v>46317.70833333334</v>
      </c>
      <c r="I32" s="11" t="n">
        <v>46318.54166666666</v>
      </c>
      <c r="J32" s="11" t="n">
        <v>46320</v>
      </c>
      <c r="K32" s="24">
        <f>(I32-H32)*24</f>
        <v/>
      </c>
      <c r="L32" s="24">
        <f>(J32-I32)*24</f>
        <v/>
      </c>
      <c r="M32" s="23" t="inlineStr">
        <is>
          <t>–</t>
        </is>
      </c>
      <c r="N32" s="23" t="inlineStr"/>
      <c r="O32" s="23">
        <f>IF(J32&lt;=$B$3,"Sailed",IF(I32&lt;=$B$3,"Alongside",IF(H32&lt;=$B$3,"At anchorage","Expected")))</f>
        <v/>
      </c>
    </row>
    <row r="33">
      <c r="A33" s="27" t="inlineStr">
        <is>
          <t>20C</t>
        </is>
      </c>
      <c r="B33" s="27" t="inlineStr">
        <is>
          <t>SAWASDEE DENEB</t>
        </is>
      </c>
      <c r="C33" s="28" t="n">
        <v>564</v>
      </c>
      <c r="D33" s="29" t="n">
        <v>46297</v>
      </c>
      <c r="E33" s="29" t="n">
        <v>46302</v>
      </c>
      <c r="F33" s="28" t="n">
        <v>6</v>
      </c>
      <c r="G33" s="33" t="inlineStr">
        <is>
          <t>20C</t>
        </is>
      </c>
      <c r="H33" s="31" t="n">
        <v>46300</v>
      </c>
      <c r="I33" s="31" t="n">
        <v>46300.5</v>
      </c>
      <c r="J33" s="31" t="n">
        <v>46302.45833333334</v>
      </c>
      <c r="K33" s="32">
        <f>(I33-H33)*24</f>
        <v/>
      </c>
      <c r="L33" s="32">
        <f>(J33-I33)*24</f>
        <v/>
      </c>
      <c r="M33" s="28" t="inlineStr">
        <is>
          <t>–</t>
        </is>
      </c>
      <c r="N33" s="28" t="inlineStr"/>
      <c r="O33" s="28" t="inlineStr">
        <is>
          <t>Sailed</t>
        </is>
      </c>
    </row>
    <row r="34">
      <c r="A34" s="4" t="inlineStr">
        <is>
          <t>20C</t>
        </is>
      </c>
      <c r="B34" s="4" t="inlineStr">
        <is>
          <t>JOSCO LUCKY</t>
        </is>
      </c>
      <c r="C34" s="23" t="n">
        <v>564</v>
      </c>
      <c r="D34" s="10" t="n">
        <v>46297</v>
      </c>
      <c r="E34" s="10" t="n">
        <v>46303</v>
      </c>
      <c r="F34" s="23" t="n">
        <v>7</v>
      </c>
      <c r="G34" s="6" t="inlineStr">
        <is>
          <t>20B → 20AB → 20D → 20C</t>
        </is>
      </c>
      <c r="H34" s="11" t="n">
        <v>46301.875</v>
      </c>
      <c r="I34" s="11" t="n">
        <v>46302.54166666666</v>
      </c>
      <c r="J34" s="11" t="n">
        <v>46303.54166666666</v>
      </c>
      <c r="K34" s="24">
        <f>(I34-H34)*24</f>
        <v/>
      </c>
      <c r="L34" s="24">
        <f>(J34-I34)*24</f>
        <v/>
      </c>
      <c r="M34" s="23" t="inlineStr">
        <is>
          <t>–</t>
        </is>
      </c>
      <c r="N34" s="23" t="inlineStr"/>
      <c r="O34" s="23" t="inlineStr">
        <is>
          <t>Sailed</t>
        </is>
      </c>
    </row>
    <row r="35">
      <c r="A35" s="4" t="inlineStr">
        <is>
          <t>20C</t>
        </is>
      </c>
      <c r="B35" s="4" t="inlineStr">
        <is>
          <t>ZHONG GU DONG HAI</t>
        </is>
      </c>
      <c r="C35" s="23" t="n">
        <v>564</v>
      </c>
      <c r="D35" s="10" t="n">
        <v>46301</v>
      </c>
      <c r="E35" s="10" t="n">
        <v>46304</v>
      </c>
      <c r="F35" s="23" t="n">
        <v>4</v>
      </c>
      <c r="G35" s="5" t="inlineStr">
        <is>
          <t>20C</t>
        </is>
      </c>
      <c r="H35" s="11" t="n">
        <v>46302.58333333334</v>
      </c>
      <c r="I35" s="11" t="n">
        <v>46303.58333333334</v>
      </c>
      <c r="J35" s="11" t="n">
        <v>46304.58333333334</v>
      </c>
      <c r="K35" s="24">
        <f>(I35-H35)*24</f>
        <v/>
      </c>
      <c r="L35" s="24">
        <f>(J35-I35)*24</f>
        <v/>
      </c>
      <c r="M35" s="23" t="inlineStr">
        <is>
          <t>–</t>
        </is>
      </c>
      <c r="N35" s="23" t="inlineStr"/>
      <c r="O35" s="23" t="inlineStr">
        <is>
          <t>Sailed</t>
        </is>
      </c>
    </row>
    <row r="36">
      <c r="A36" s="25" t="inlineStr">
        <is>
          <t>20C</t>
        </is>
      </c>
      <c r="B36" s="25" t="inlineStr">
        <is>
          <t>YM INCEPTION</t>
        </is>
      </c>
      <c r="C36" s="17" t="n">
        <v>564</v>
      </c>
      <c r="D36" s="18" t="n">
        <v>46301</v>
      </c>
      <c r="E36" s="18" t="n">
        <v>46305</v>
      </c>
      <c r="F36" s="17" t="n">
        <v>5</v>
      </c>
      <c r="G36" s="6" t="inlineStr">
        <is>
          <t>20AB → 20C</t>
        </is>
      </c>
      <c r="H36" s="20" t="n">
        <v>46303.54166666666</v>
      </c>
      <c r="I36" s="20" t="n">
        <v>46304.54166666666</v>
      </c>
      <c r="J36" s="20" t="n">
        <v>46305.58333333334</v>
      </c>
      <c r="K36" s="26">
        <f>(I36-H36)*24</f>
        <v/>
      </c>
      <c r="L36" s="26">
        <f>(J36-I36)*24</f>
        <v/>
      </c>
      <c r="M36" s="17" t="inlineStr">
        <is>
          <t>–</t>
        </is>
      </c>
      <c r="N36" s="17" t="inlineStr">
        <is>
          <t>Yes</t>
        </is>
      </c>
      <c r="O36" s="17" t="inlineStr">
        <is>
          <t>Sailed</t>
        </is>
      </c>
    </row>
    <row r="37">
      <c r="A37" s="4" t="inlineStr">
        <is>
          <t>20C</t>
        </is>
      </c>
      <c r="B37" s="4" t="inlineStr">
        <is>
          <t>STARSHIP AQUILA</t>
        </is>
      </c>
      <c r="C37" s="23" t="n">
        <v>565</v>
      </c>
      <c r="D37" s="10" t="n">
        <v>46303</v>
      </c>
      <c r="E37" s="10" t="n">
        <v>46306</v>
      </c>
      <c r="F37" s="23" t="n">
        <v>4</v>
      </c>
      <c r="G37" s="5" t="inlineStr">
        <is>
          <t>20C</t>
        </is>
      </c>
      <c r="H37" s="11" t="n">
        <v>46304.91666666666</v>
      </c>
      <c r="I37" s="11" t="n">
        <v>46305.58333333334</v>
      </c>
      <c r="J37" s="11" t="n">
        <v>46307.08333333334</v>
      </c>
      <c r="K37" s="24">
        <f>(I37-H37)*24</f>
        <v/>
      </c>
      <c r="L37" s="24">
        <f>(J37-I37)*24</f>
        <v/>
      </c>
      <c r="M37" s="23" t="inlineStr">
        <is>
          <t>–</t>
        </is>
      </c>
      <c r="N37" s="23" t="inlineStr"/>
      <c r="O37" s="23" t="inlineStr">
        <is>
          <t>Sailed</t>
        </is>
      </c>
    </row>
    <row r="38">
      <c r="A38" s="4" t="inlineStr">
        <is>
          <t>20C</t>
        </is>
      </c>
      <c r="B38" s="4" t="inlineStr">
        <is>
          <t>WAN HAI 277</t>
        </is>
      </c>
      <c r="C38" s="23" t="n">
        <v>564</v>
      </c>
      <c r="D38" s="10" t="n">
        <v>46305</v>
      </c>
      <c r="E38" s="10" t="n">
        <v>46309</v>
      </c>
      <c r="F38" s="23" t="n">
        <v>5</v>
      </c>
      <c r="G38" s="6" t="inlineStr">
        <is>
          <t>20F → 20B → 20C</t>
        </is>
      </c>
      <c r="H38" s="11" t="n">
        <v>46307.875</v>
      </c>
      <c r="I38" s="11" t="n">
        <v>46308.25</v>
      </c>
      <c r="J38" s="11" t="n">
        <v>46309.66666666666</v>
      </c>
      <c r="K38" s="24">
        <f>(I38-H38)*24</f>
        <v/>
      </c>
      <c r="L38" s="24">
        <f>(J38-I38)*24</f>
        <v/>
      </c>
      <c r="M38" s="23" t="inlineStr">
        <is>
          <t>–</t>
        </is>
      </c>
      <c r="N38" s="23" t="inlineStr"/>
      <c r="O38" s="23" t="inlineStr">
        <is>
          <t>Sailed</t>
        </is>
      </c>
    </row>
    <row r="39">
      <c r="A39" s="4" t="inlineStr">
        <is>
          <t>20C</t>
        </is>
      </c>
      <c r="B39" s="4" t="inlineStr">
        <is>
          <t>WAN HAI 173</t>
        </is>
      </c>
      <c r="C39" s="23" t="n">
        <v>565</v>
      </c>
      <c r="D39" s="10" t="n">
        <v>46307</v>
      </c>
      <c r="E39" s="10" t="n">
        <v>46309</v>
      </c>
      <c r="F39" s="23" t="n">
        <v>3</v>
      </c>
      <c r="G39" s="6" t="inlineStr">
        <is>
          <t>20B → 20C</t>
        </is>
      </c>
      <c r="H39" s="11" t="n">
        <v>46309.04166666666</v>
      </c>
      <c r="I39" s="11" t="n">
        <v>46309.66666666666</v>
      </c>
      <c r="J39" s="11" t="n">
        <v>46310.29166666666</v>
      </c>
      <c r="K39" s="24">
        <f>(I39-H39)*24</f>
        <v/>
      </c>
      <c r="L39" s="24">
        <f>(J39-I39)*24</f>
        <v/>
      </c>
      <c r="M39" s="23" t="inlineStr">
        <is>
          <t>–</t>
        </is>
      </c>
      <c r="N39" s="23" t="inlineStr"/>
      <c r="O39" s="23" t="inlineStr">
        <is>
          <t>Sailed</t>
        </is>
      </c>
    </row>
    <row r="40">
      <c r="A40" s="4" t="inlineStr">
        <is>
          <t>20C</t>
        </is>
      </c>
      <c r="B40" s="4" t="inlineStr">
        <is>
          <t>WAN HAI 175</t>
        </is>
      </c>
      <c r="C40" s="23" t="n">
        <v>565</v>
      </c>
      <c r="D40" s="10" t="n">
        <v>46308</v>
      </c>
      <c r="E40" s="10" t="n">
        <v>46311</v>
      </c>
      <c r="F40" s="23" t="n">
        <v>4</v>
      </c>
      <c r="G40" s="6" t="inlineStr">
        <is>
          <t>20D → 20C</t>
        </is>
      </c>
      <c r="H40" s="11" t="n">
        <v>46309.875</v>
      </c>
      <c r="I40" s="11" t="n">
        <v>46310.29166666666</v>
      </c>
      <c r="J40" s="11" t="n">
        <v>46311.625</v>
      </c>
      <c r="K40" s="24">
        <f>(I40-H40)*24</f>
        <v/>
      </c>
      <c r="L40" s="24">
        <f>(J40-I40)*24</f>
        <v/>
      </c>
      <c r="M40" s="23" t="inlineStr">
        <is>
          <t>–</t>
        </is>
      </c>
      <c r="N40" s="23" t="inlineStr"/>
      <c r="O40" s="23" t="inlineStr">
        <is>
          <t>Sailed</t>
        </is>
      </c>
    </row>
    <row r="41">
      <c r="A41" s="4" t="inlineStr">
        <is>
          <t>20C</t>
        </is>
      </c>
      <c r="B41" s="4" t="inlineStr">
        <is>
          <t>LITTLE DOLPHIN</t>
        </is>
      </c>
      <c r="C41" s="23" t="n">
        <v>564</v>
      </c>
      <c r="D41" s="10" t="n">
        <v>46310</v>
      </c>
      <c r="E41" s="10" t="n">
        <v>46313</v>
      </c>
      <c r="F41" s="23" t="n">
        <v>4</v>
      </c>
      <c r="G41" s="6" t="inlineStr">
        <is>
          <t>20B → 20C</t>
        </is>
      </c>
      <c r="H41" s="11" t="n">
        <v>46312.04166666666</v>
      </c>
      <c r="I41" s="11" t="n">
        <v>46312.33333333334</v>
      </c>
      <c r="J41" s="11" t="n">
        <v>46313.66666666666</v>
      </c>
      <c r="K41" s="24">
        <f>(I41-H41)*24</f>
        <v/>
      </c>
      <c r="L41" s="24">
        <f>(J41-I41)*24</f>
        <v/>
      </c>
      <c r="M41" s="23" t="inlineStr">
        <is>
          <t>–</t>
        </is>
      </c>
      <c r="N41" s="23" t="inlineStr"/>
      <c r="O41" s="23" t="inlineStr">
        <is>
          <t>Sailed</t>
        </is>
      </c>
    </row>
    <row r="42">
      <c r="A42" s="4" t="inlineStr">
        <is>
          <t>20C</t>
        </is>
      </c>
      <c r="B42" s="4" t="inlineStr">
        <is>
          <t>MILLENNIUM BRIGHT</t>
        </is>
      </c>
      <c r="C42" s="23" t="n">
        <v>564</v>
      </c>
      <c r="D42" s="10" t="n">
        <v>46293</v>
      </c>
      <c r="E42" s="10" t="n">
        <v>46315</v>
      </c>
      <c r="F42" s="23" t="n">
        <v>4</v>
      </c>
      <c r="G42" s="6" t="inlineStr">
        <is>
          <t>20B → 20C</t>
        </is>
      </c>
      <c r="H42" s="11" t="n">
        <v>46314.58333333334</v>
      </c>
      <c r="I42" s="11" t="n">
        <v>46314.58333333334</v>
      </c>
      <c r="J42" s="11" t="n">
        <v>46315.5</v>
      </c>
      <c r="K42" s="24">
        <f>(I42-H42)*24</f>
        <v/>
      </c>
      <c r="L42" s="24">
        <f>(J42-I42)*24</f>
        <v/>
      </c>
      <c r="M42" s="23" t="inlineStr">
        <is>
          <t>–</t>
        </is>
      </c>
      <c r="N42" s="23" t="inlineStr"/>
      <c r="O42" s="23" t="inlineStr">
        <is>
          <t>Sailed</t>
        </is>
      </c>
    </row>
    <row r="43">
      <c r="A43" s="4" t="inlineStr">
        <is>
          <t>20C</t>
        </is>
      </c>
      <c r="B43" s="4" t="inlineStr">
        <is>
          <t>CAPE FAWLEY</t>
        </is>
      </c>
      <c r="C43" s="23" t="n">
        <v>558</v>
      </c>
      <c r="D43" s="10" t="n">
        <v>46293</v>
      </c>
      <c r="E43" s="10" t="n">
        <v>46316</v>
      </c>
      <c r="F43" s="23" t="n">
        <v>10</v>
      </c>
      <c r="G43" s="6" t="inlineStr">
        <is>
          <t>20AB → 20C → 20AB → 20C</t>
        </is>
      </c>
      <c r="H43" s="11" t="n">
        <v>46316.45833333334</v>
      </c>
      <c r="I43" s="11" t="n">
        <v>46316.5</v>
      </c>
      <c r="J43" s="11" t="n">
        <v>46318.5</v>
      </c>
      <c r="K43" s="24">
        <f>(I43-H43)*24</f>
        <v/>
      </c>
      <c r="L43" s="24">
        <f>(J43-I43)*24</f>
        <v/>
      </c>
      <c r="M43" s="23" t="inlineStr">
        <is>
          <t>–</t>
        </is>
      </c>
      <c r="N43" s="23" t="inlineStr"/>
      <c r="O43" s="23">
        <f>IF(J43&lt;=$B$3,"Sailed",IF(I43&lt;=$B$3,"Alongside",IF(H43&lt;=$B$3,"At anchorage","Expected")))</f>
        <v/>
      </c>
    </row>
    <row r="44">
      <c r="A44" s="4" t="inlineStr">
        <is>
          <t>20C</t>
        </is>
      </c>
      <c r="B44" s="4" t="inlineStr">
        <is>
          <t>HORAI BRIDGE</t>
        </is>
      </c>
      <c r="C44" s="23" t="n">
        <v>564</v>
      </c>
      <c r="D44" s="10" t="n">
        <v>46316</v>
      </c>
      <c r="E44" s="10" t="n">
        <v>46316</v>
      </c>
      <c r="F44" s="23" t="n">
        <v>1</v>
      </c>
      <c r="G44" s="5" t="inlineStr">
        <is>
          <t>20C</t>
        </is>
      </c>
      <c r="H44" s="11" t="n">
        <v>46318.04166666666</v>
      </c>
      <c r="I44" s="11" t="n">
        <v>46318.5</v>
      </c>
      <c r="J44" s="11" t="n">
        <v>46319.625</v>
      </c>
      <c r="K44" s="24">
        <f>(I44-H44)*24</f>
        <v/>
      </c>
      <c r="L44" s="24">
        <f>(J44-I44)*24</f>
        <v/>
      </c>
      <c r="M44" s="23" t="inlineStr">
        <is>
          <t>–</t>
        </is>
      </c>
      <c r="N44" s="23" t="inlineStr"/>
      <c r="O44" s="23">
        <f>IF(J44&lt;=$B$3,"Sailed",IF(I44&lt;=$B$3,"Alongside",IF(H44&lt;=$B$3,"At anchorage","Expected")))</f>
        <v/>
      </c>
    </row>
    <row r="45">
      <c r="A45" s="27" t="inlineStr">
        <is>
          <t>20D</t>
        </is>
      </c>
      <c r="B45" s="27" t="inlineStr">
        <is>
          <t>HARI BHUM (Barge)</t>
        </is>
      </c>
      <c r="C45" s="28" t="n">
        <v>259</v>
      </c>
      <c r="D45" s="29" t="n">
        <v>46297</v>
      </c>
      <c r="E45" s="29" t="n">
        <v>46298</v>
      </c>
      <c r="F45" s="28" t="n">
        <v>2</v>
      </c>
      <c r="G45" s="33" t="inlineStr">
        <is>
          <t>20D</t>
        </is>
      </c>
      <c r="H45" s="31" t="n">
        <v>46298.20833333334</v>
      </c>
      <c r="I45" s="31" t="n">
        <v>46298.29166666666</v>
      </c>
      <c r="J45" s="31" t="n">
        <v>46298.66666666666</v>
      </c>
      <c r="K45" s="32">
        <f>(I45-H45)*24</f>
        <v/>
      </c>
      <c r="L45" s="32">
        <f>(J45-I45)*24</f>
        <v/>
      </c>
      <c r="M45" s="28" t="inlineStr">
        <is>
          <t>–</t>
        </is>
      </c>
      <c r="N45" s="28" t="inlineStr"/>
      <c r="O45" s="28" t="inlineStr">
        <is>
          <t>Sailed</t>
        </is>
      </c>
    </row>
    <row r="46">
      <c r="A46" s="4" t="inlineStr">
        <is>
          <t>20D</t>
        </is>
      </c>
      <c r="B46" s="4" t="inlineStr">
        <is>
          <t>HE JIN</t>
        </is>
      </c>
      <c r="C46" s="23" t="n">
        <v>552</v>
      </c>
      <c r="D46" s="10" t="n">
        <v>46301</v>
      </c>
      <c r="E46" s="10" t="n">
        <v>46305</v>
      </c>
      <c r="F46" s="23" t="n">
        <v>5</v>
      </c>
      <c r="G46" s="6" t="inlineStr">
        <is>
          <t>20B → 20AB → 22A → 20D</t>
        </is>
      </c>
      <c r="H46" s="11" t="n">
        <v>46304</v>
      </c>
      <c r="I46" s="11" t="n">
        <v>46304</v>
      </c>
      <c r="J46" s="11" t="n">
        <v>46305.54166666666</v>
      </c>
      <c r="K46" s="24">
        <f>(I46-H46)*24</f>
        <v/>
      </c>
      <c r="L46" s="24">
        <f>(J46-I46)*24</f>
        <v/>
      </c>
      <c r="M46" s="23" t="inlineStr">
        <is>
          <t>–</t>
        </is>
      </c>
      <c r="N46" s="23" t="inlineStr"/>
      <c r="O46" s="23" t="inlineStr">
        <is>
          <t>Sailed</t>
        </is>
      </c>
    </row>
    <row r="47">
      <c r="A47" s="4" t="inlineStr">
        <is>
          <t>20D</t>
        </is>
      </c>
      <c r="B47" s="4" t="inlineStr">
        <is>
          <t>CUL HAIPHONG</t>
        </is>
      </c>
      <c r="C47" s="23" t="n">
        <v>458</v>
      </c>
      <c r="D47" s="10" t="n">
        <v>46302</v>
      </c>
      <c r="E47" s="10" t="n">
        <v>46305</v>
      </c>
      <c r="F47" s="23" t="n">
        <v>4</v>
      </c>
      <c r="G47" s="6" t="inlineStr">
        <is>
          <t>20B → 20D</t>
        </is>
      </c>
      <c r="H47" s="11" t="n">
        <v>46304.83333333334</v>
      </c>
      <c r="I47" s="11" t="n">
        <v>46305.66666666666</v>
      </c>
      <c r="J47" s="11" t="n">
        <v>46306.25</v>
      </c>
      <c r="K47" s="24">
        <f>(I47-H47)*24</f>
        <v/>
      </c>
      <c r="L47" s="24">
        <f>(J47-I47)*24</f>
        <v/>
      </c>
      <c r="M47" s="23" t="inlineStr">
        <is>
          <t>4A</t>
        </is>
      </c>
      <c r="N47" s="23" t="inlineStr"/>
      <c r="O47" s="23" t="inlineStr">
        <is>
          <t>Sailed</t>
        </is>
      </c>
    </row>
    <row r="48">
      <c r="A48" s="4" t="inlineStr">
        <is>
          <t>20D</t>
        </is>
      </c>
      <c r="B48" s="4" t="inlineStr">
        <is>
          <t>INCEDA</t>
        </is>
      </c>
      <c r="C48" s="23" t="n">
        <v>564</v>
      </c>
      <c r="D48" s="10" t="n">
        <v>46303</v>
      </c>
      <c r="E48" s="10" t="n">
        <v>46307</v>
      </c>
      <c r="F48" s="23" t="n">
        <v>5</v>
      </c>
      <c r="G48" s="5" t="inlineStr">
        <is>
          <t>20D</t>
        </is>
      </c>
      <c r="H48" s="11" t="n">
        <v>46305.70833333334</v>
      </c>
      <c r="I48" s="11" t="n">
        <v>46306.25</v>
      </c>
      <c r="J48" s="11" t="n">
        <v>46307.58333333334</v>
      </c>
      <c r="K48" s="24">
        <f>(I48-H48)*24</f>
        <v/>
      </c>
      <c r="L48" s="24">
        <f>(J48-I48)*24</f>
        <v/>
      </c>
      <c r="M48" s="23" t="inlineStr">
        <is>
          <t>–</t>
        </is>
      </c>
      <c r="N48" s="23" t="inlineStr"/>
      <c r="O48" s="23" t="inlineStr">
        <is>
          <t>Sailed</t>
        </is>
      </c>
    </row>
    <row r="49">
      <c r="A49" s="4" t="inlineStr">
        <is>
          <t>20D</t>
        </is>
      </c>
      <c r="B49" s="4" t="inlineStr">
        <is>
          <t>SAWASDEE SUNRISE</t>
        </is>
      </c>
      <c r="C49" s="23" t="n">
        <v>564</v>
      </c>
      <c r="D49" s="10" t="n">
        <v>46304</v>
      </c>
      <c r="E49" s="10" t="n">
        <v>46308</v>
      </c>
      <c r="F49" s="23" t="n">
        <v>5</v>
      </c>
      <c r="G49" s="6" t="inlineStr">
        <is>
          <t>20F → 20D</t>
        </is>
      </c>
      <c r="H49" s="11" t="n">
        <v>46307.16666666666</v>
      </c>
      <c r="I49" s="11" t="n">
        <v>46307.66666666666</v>
      </c>
      <c r="J49" s="11" t="n">
        <v>46309.20833333334</v>
      </c>
      <c r="K49" s="24">
        <f>(I49-H49)*24</f>
        <v/>
      </c>
      <c r="L49" s="24">
        <f>(J49-I49)*24</f>
        <v/>
      </c>
      <c r="M49" s="23" t="inlineStr">
        <is>
          <t>–</t>
        </is>
      </c>
      <c r="N49" s="23" t="inlineStr"/>
      <c r="O49" s="23" t="inlineStr">
        <is>
          <t>Sailed</t>
        </is>
      </c>
    </row>
    <row r="50">
      <c r="A50" s="4" t="inlineStr">
        <is>
          <t>20D</t>
        </is>
      </c>
      <c r="B50" s="4" t="inlineStr">
        <is>
          <t>KHUNA BHUM</t>
        </is>
      </c>
      <c r="C50" s="23" t="n">
        <v>564</v>
      </c>
      <c r="D50" s="10" t="n">
        <v>46305</v>
      </c>
      <c r="E50" s="10" t="n">
        <v>46309</v>
      </c>
      <c r="F50" s="23" t="n">
        <v>5</v>
      </c>
      <c r="G50" s="6" t="inlineStr">
        <is>
          <t>20AB → 20D</t>
        </is>
      </c>
      <c r="H50" s="11" t="n">
        <v>46308.45833333334</v>
      </c>
      <c r="I50" s="11" t="n">
        <v>46309.20833333334</v>
      </c>
      <c r="J50" s="11" t="n">
        <v>46309.91666666666</v>
      </c>
      <c r="K50" s="24">
        <f>(I50-H50)*24</f>
        <v/>
      </c>
      <c r="L50" s="24">
        <f>(J50-I50)*24</f>
        <v/>
      </c>
      <c r="M50" s="23" t="inlineStr">
        <is>
          <t>7B</t>
        </is>
      </c>
      <c r="N50" s="23" t="inlineStr"/>
      <c r="O50" s="23" t="inlineStr">
        <is>
          <t>Sailed</t>
        </is>
      </c>
    </row>
    <row r="51">
      <c r="A51" s="4" t="inlineStr">
        <is>
          <t>20D</t>
        </is>
      </c>
      <c r="B51" s="4" t="inlineStr">
        <is>
          <t>SITC DALIAN</t>
        </is>
      </c>
      <c r="C51" s="23" t="n">
        <v>470</v>
      </c>
      <c r="D51" s="10" t="n">
        <v>46309</v>
      </c>
      <c r="E51" s="10" t="n">
        <v>46310</v>
      </c>
      <c r="F51" s="23" t="n">
        <v>2</v>
      </c>
      <c r="G51" s="5" t="inlineStr">
        <is>
          <t>20D</t>
        </is>
      </c>
      <c r="H51" s="11" t="n">
        <v>46309.33333333334</v>
      </c>
      <c r="I51" s="11" t="n">
        <v>46310.20833333334</v>
      </c>
      <c r="J51" s="11" t="n">
        <v>46311.25</v>
      </c>
      <c r="K51" s="24">
        <f>(I51-H51)*24</f>
        <v/>
      </c>
      <c r="L51" s="24">
        <f>(J51-I51)*24</f>
        <v/>
      </c>
      <c r="M51" s="23" t="inlineStr">
        <is>
          <t>–</t>
        </is>
      </c>
      <c r="N51" s="23" t="inlineStr"/>
      <c r="O51" s="23" t="inlineStr">
        <is>
          <t>Sailed</t>
        </is>
      </c>
    </row>
    <row r="52">
      <c r="A52" s="4" t="inlineStr">
        <is>
          <t>20D</t>
        </is>
      </c>
      <c r="B52" s="4" t="inlineStr">
        <is>
          <t>WAN HAI 172</t>
        </is>
      </c>
      <c r="C52" s="23" t="n">
        <v>565</v>
      </c>
      <c r="D52" s="10" t="n">
        <v>46309</v>
      </c>
      <c r="E52" s="10" t="n">
        <v>46311</v>
      </c>
      <c r="F52" s="23" t="n">
        <v>3</v>
      </c>
      <c r="G52" s="5" t="inlineStr">
        <is>
          <t>20D</t>
        </is>
      </c>
      <c r="H52" s="11" t="n">
        <v>46311.04166666666</v>
      </c>
      <c r="I52" s="11" t="n">
        <v>46311.29166666666</v>
      </c>
      <c r="J52" s="11" t="n">
        <v>46312.33333333334</v>
      </c>
      <c r="K52" s="24">
        <f>(I52-H52)*24</f>
        <v/>
      </c>
      <c r="L52" s="24">
        <f>(J52-I52)*24</f>
        <v/>
      </c>
      <c r="M52" s="23" t="inlineStr">
        <is>
          <t>–</t>
        </is>
      </c>
      <c r="N52" s="23" t="inlineStr"/>
      <c r="O52" s="23" t="inlineStr">
        <is>
          <t>Sailed</t>
        </is>
      </c>
    </row>
    <row r="53">
      <c r="A53" s="4" t="inlineStr">
        <is>
          <t>20D</t>
        </is>
      </c>
      <c r="B53" s="4" t="inlineStr">
        <is>
          <t>PUNNYA NAVEE</t>
        </is>
      </c>
      <c r="C53" s="23" t="n">
        <v>304</v>
      </c>
      <c r="D53" s="10" t="n">
        <v>46311</v>
      </c>
      <c r="E53" s="10" t="n">
        <v>46312</v>
      </c>
      <c r="F53" s="23" t="n">
        <v>2</v>
      </c>
      <c r="G53" s="6" t="inlineStr">
        <is>
          <t>20F → 20D</t>
        </is>
      </c>
      <c r="H53" s="11" t="n">
        <v>46311.75</v>
      </c>
      <c r="I53" s="11" t="n">
        <v>46312.125</v>
      </c>
      <c r="J53" s="11" t="n">
        <v>46312.625</v>
      </c>
      <c r="K53" s="24">
        <f>(I53-H53)*24</f>
        <v/>
      </c>
      <c r="L53" s="24">
        <f>(J53-I53)*24</f>
        <v/>
      </c>
      <c r="M53" s="23" t="inlineStr">
        <is>
          <t>–</t>
        </is>
      </c>
      <c r="N53" s="23" t="inlineStr"/>
      <c r="O53" s="23" t="inlineStr">
        <is>
          <t>Sailed</t>
        </is>
      </c>
    </row>
    <row r="54">
      <c r="A54" s="4" t="inlineStr">
        <is>
          <t>20D</t>
        </is>
      </c>
      <c r="B54" s="4" t="inlineStr">
        <is>
          <t>INFINITY</t>
        </is>
      </c>
      <c r="C54" s="23" t="n">
        <v>565</v>
      </c>
      <c r="D54" s="10" t="n">
        <v>46293</v>
      </c>
      <c r="E54" s="10" t="n">
        <v>46313</v>
      </c>
      <c r="F54" s="23" t="n">
        <v>6</v>
      </c>
      <c r="G54" s="6" t="inlineStr">
        <is>
          <t>20AB → 20C → 20D</t>
        </is>
      </c>
      <c r="H54" s="11" t="n">
        <v>46313</v>
      </c>
      <c r="I54" s="11" t="n">
        <v>46313.29166666666</v>
      </c>
      <c r="J54" s="11" t="n">
        <v>46314.375</v>
      </c>
      <c r="K54" s="24">
        <f>(I54-H54)*24</f>
        <v/>
      </c>
      <c r="L54" s="24">
        <f>(J54-I54)*24</f>
        <v/>
      </c>
      <c r="M54" s="23" t="inlineStr">
        <is>
          <t>–</t>
        </is>
      </c>
      <c r="N54" s="23" t="inlineStr"/>
      <c r="O54" s="23" t="inlineStr">
        <is>
          <t>Sailed</t>
        </is>
      </c>
    </row>
    <row r="55">
      <c r="A55" s="27" t="inlineStr">
        <is>
          <t>20E</t>
        </is>
      </c>
      <c r="B55" s="27" t="inlineStr">
        <is>
          <t>WAN HAI 278</t>
        </is>
      </c>
      <c r="C55" s="28" t="n">
        <v>564</v>
      </c>
      <c r="D55" s="29" t="n">
        <v>46295</v>
      </c>
      <c r="E55" s="29" t="n">
        <v>46300</v>
      </c>
      <c r="F55" s="28" t="n">
        <v>6</v>
      </c>
      <c r="G55" s="30" t="inlineStr">
        <is>
          <t>20F → 20E</t>
        </is>
      </c>
      <c r="H55" s="31" t="n">
        <v>46297.75</v>
      </c>
      <c r="I55" s="31" t="n">
        <v>46298.41666666666</v>
      </c>
      <c r="J55" s="31" t="n">
        <v>46300.45833333334</v>
      </c>
      <c r="K55" s="32">
        <f>(I55-H55)*24</f>
        <v/>
      </c>
      <c r="L55" s="32">
        <f>(J55-I55)*24</f>
        <v/>
      </c>
      <c r="M55" s="28" t="inlineStr">
        <is>
          <t>–</t>
        </is>
      </c>
      <c r="N55" s="28" t="inlineStr"/>
      <c r="O55" s="28" t="inlineStr">
        <is>
          <t>Sailed</t>
        </is>
      </c>
    </row>
    <row r="56">
      <c r="A56" s="25" t="inlineStr">
        <is>
          <t>20E</t>
        </is>
      </c>
      <c r="B56" s="25" t="inlineStr">
        <is>
          <t>MTT BANGKOK</t>
        </is>
      </c>
      <c r="C56" s="17" t="n">
        <v>564</v>
      </c>
      <c r="D56" s="18" t="n">
        <v>46300</v>
      </c>
      <c r="E56" s="18" t="n">
        <v>46316</v>
      </c>
      <c r="F56" s="17" t="n">
        <v>8</v>
      </c>
      <c r="G56" s="6" t="inlineStr">
        <is>
          <t>20D → 20B → 20E</t>
        </is>
      </c>
      <c r="H56" s="20" t="n">
        <v>46315.625</v>
      </c>
      <c r="I56" s="20" t="n">
        <v>46315.75</v>
      </c>
      <c r="J56" s="20" t="n">
        <v>46316.83333333334</v>
      </c>
      <c r="K56" s="26">
        <f>(I56-H56)*24</f>
        <v/>
      </c>
      <c r="L56" s="26">
        <f>(J56-I56)*24</f>
        <v/>
      </c>
      <c r="M56" s="17" t="inlineStr">
        <is>
          <t>–</t>
        </is>
      </c>
      <c r="N56" s="17" t="inlineStr">
        <is>
          <t>Yes</t>
        </is>
      </c>
      <c r="O56" s="17">
        <f>IF(J56&lt;=$B$3,"Sailed",IF(I56&lt;=$B$3,"Alongside",IF(H56&lt;=$B$3,"At anchorage","Expected")))</f>
        <v/>
      </c>
    </row>
    <row r="57">
      <c r="A57" s="4" t="inlineStr">
        <is>
          <t>20E</t>
        </is>
      </c>
      <c r="B57" s="4" t="inlineStr">
        <is>
          <t>SKY ORION</t>
        </is>
      </c>
      <c r="C57" s="23" t="n">
        <v>565</v>
      </c>
      <c r="D57" s="10" t="n">
        <v>46315</v>
      </c>
      <c r="E57" s="10" t="n">
        <v>46316</v>
      </c>
      <c r="F57" s="23" t="n">
        <v>2</v>
      </c>
      <c r="G57" s="5" t="inlineStr">
        <is>
          <t>20E</t>
        </is>
      </c>
      <c r="H57" s="11" t="n">
        <v>46316.91666666666</v>
      </c>
      <c r="I57" s="11" t="n">
        <v>46317.54166666666</v>
      </c>
      <c r="J57" s="11" t="n">
        <v>46319.04166666666</v>
      </c>
      <c r="K57" s="24">
        <f>(I57-H57)*24</f>
        <v/>
      </c>
      <c r="L57" s="24">
        <f>(J57-I57)*24</f>
        <v/>
      </c>
      <c r="M57" s="23" t="inlineStr">
        <is>
          <t>–</t>
        </is>
      </c>
      <c r="N57" s="23" t="inlineStr"/>
      <c r="O57" s="23">
        <f>IF(J57&lt;=$B$3,"Sailed",IF(I57&lt;=$B$3,"Alongside",IF(H57&lt;=$B$3,"At anchorage","Expected")))</f>
        <v/>
      </c>
    </row>
    <row r="58">
      <c r="A58" s="27" t="inlineStr">
        <is>
          <t>20F</t>
        </is>
      </c>
      <c r="B58" s="27" t="inlineStr">
        <is>
          <t>KMTC BANGKOK</t>
        </is>
      </c>
      <c r="C58" s="28" t="n">
        <v>564</v>
      </c>
      <c r="D58" s="29" t="n">
        <v>46295</v>
      </c>
      <c r="E58" s="29" t="n">
        <v>46298</v>
      </c>
      <c r="F58" s="28" t="n">
        <v>4</v>
      </c>
      <c r="G58" s="30" t="inlineStr">
        <is>
          <t>20AB → 20F</t>
        </is>
      </c>
      <c r="H58" s="31" t="n">
        <v>46297.29166666666</v>
      </c>
      <c r="I58" s="31" t="n">
        <v>46297.45833333334</v>
      </c>
      <c r="J58" s="31" t="n">
        <v>46298.70833333334</v>
      </c>
      <c r="K58" s="32">
        <f>(I58-H58)*24</f>
        <v/>
      </c>
      <c r="L58" s="32">
        <f>(J58-I58)*24</f>
        <v/>
      </c>
      <c r="M58" s="28" t="inlineStr">
        <is>
          <t>–</t>
        </is>
      </c>
      <c r="N58" s="28" t="inlineStr"/>
      <c r="O58" s="28" t="inlineStr">
        <is>
          <t>Sailed</t>
        </is>
      </c>
    </row>
    <row r="59">
      <c r="A59" s="4" t="inlineStr">
        <is>
          <t>20F</t>
        </is>
      </c>
      <c r="B59" s="4" t="inlineStr">
        <is>
          <t>XIN MING ZHOU 98</t>
        </is>
      </c>
      <c r="C59" s="23" t="n">
        <v>564</v>
      </c>
      <c r="D59" s="10" t="n">
        <v>46297</v>
      </c>
      <c r="E59" s="10" t="n">
        <v>46299</v>
      </c>
      <c r="F59" s="23" t="n">
        <v>3</v>
      </c>
      <c r="G59" s="5" t="inlineStr">
        <is>
          <t>20F</t>
        </is>
      </c>
      <c r="H59" s="11" t="n">
        <v>46299.375</v>
      </c>
      <c r="I59" s="11" t="n">
        <v>46299.375</v>
      </c>
      <c r="J59" s="11" t="n">
        <v>46300.375</v>
      </c>
      <c r="K59" s="24">
        <f>(I59-H59)*24</f>
        <v/>
      </c>
      <c r="L59" s="24">
        <f>(J59-I59)*24</f>
        <v/>
      </c>
      <c r="M59" s="23" t="inlineStr">
        <is>
          <t>–</t>
        </is>
      </c>
      <c r="N59" s="23" t="inlineStr"/>
      <c r="O59" s="23" t="inlineStr">
        <is>
          <t>Sailed</t>
        </is>
      </c>
    </row>
    <row r="60">
      <c r="A60" s="4" t="inlineStr">
        <is>
          <t>20F</t>
        </is>
      </c>
      <c r="B60" s="4" t="inlineStr">
        <is>
          <t>XIN AN</t>
        </is>
      </c>
      <c r="C60" s="23" t="n">
        <v>564</v>
      </c>
      <c r="D60" s="10" t="n">
        <v>46300</v>
      </c>
      <c r="E60" s="10" t="n">
        <v>46304</v>
      </c>
      <c r="F60" s="23" t="n">
        <v>5</v>
      </c>
      <c r="G60" s="5" t="inlineStr">
        <is>
          <t>20F</t>
        </is>
      </c>
      <c r="H60" s="11" t="n">
        <v>46302.54166666666</v>
      </c>
      <c r="I60" s="11" t="n">
        <v>46302.58333333334</v>
      </c>
      <c r="J60" s="11" t="n">
        <v>46304.54166666666</v>
      </c>
      <c r="K60" s="24">
        <f>(I60-H60)*24</f>
        <v/>
      </c>
      <c r="L60" s="24">
        <f>(J60-I60)*24</f>
        <v/>
      </c>
      <c r="M60" s="23" t="inlineStr">
        <is>
          <t>–</t>
        </is>
      </c>
      <c r="N60" s="23" t="inlineStr"/>
      <c r="O60" s="23" t="inlineStr">
        <is>
          <t>Sailed</t>
        </is>
      </c>
    </row>
    <row r="61">
      <c r="A61" s="4" t="inlineStr">
        <is>
          <t>20F</t>
        </is>
      </c>
      <c r="B61" s="4" t="inlineStr">
        <is>
          <t>SAWASDEE ATLANTIC</t>
        </is>
      </c>
      <c r="C61" s="23" t="n">
        <v>564</v>
      </c>
      <c r="D61" s="10" t="n">
        <v>46300</v>
      </c>
      <c r="E61" s="10" t="n">
        <v>46306</v>
      </c>
      <c r="F61" s="23" t="n">
        <v>7</v>
      </c>
      <c r="G61" s="6" t="inlineStr">
        <is>
          <t>20C → 20D → 20F</t>
        </is>
      </c>
      <c r="H61" s="11" t="n">
        <v>46302.83333333334</v>
      </c>
      <c r="I61" s="11" t="n">
        <v>46304.625</v>
      </c>
      <c r="J61" s="11" t="n">
        <v>46306.5</v>
      </c>
      <c r="K61" s="24">
        <f>(I61-H61)*24</f>
        <v/>
      </c>
      <c r="L61" s="24">
        <f>(J61-I61)*24</f>
        <v/>
      </c>
      <c r="M61" s="23" t="inlineStr">
        <is>
          <t>–</t>
        </is>
      </c>
      <c r="N61" s="23" t="inlineStr"/>
      <c r="O61" s="23" t="inlineStr">
        <is>
          <t>Sailed</t>
        </is>
      </c>
    </row>
    <row r="62">
      <c r="A62" s="4" t="inlineStr">
        <is>
          <t>20F</t>
        </is>
      </c>
      <c r="B62" s="4" t="inlineStr">
        <is>
          <t>JOSCO SHINE</t>
        </is>
      </c>
      <c r="C62" s="23" t="n">
        <v>564</v>
      </c>
      <c r="D62" s="10" t="n">
        <v>46304</v>
      </c>
      <c r="E62" s="10" t="n">
        <v>46307</v>
      </c>
      <c r="F62" s="23" t="n">
        <v>4</v>
      </c>
      <c r="G62" s="6" t="inlineStr">
        <is>
          <t>20B → 20AB → 20F</t>
        </is>
      </c>
      <c r="H62" s="11" t="n">
        <v>46307.45833333334</v>
      </c>
      <c r="I62" s="11" t="n">
        <v>46307.625</v>
      </c>
      <c r="J62" s="11" t="n">
        <v>46308.25</v>
      </c>
      <c r="K62" s="24">
        <f>(I62-H62)*24</f>
        <v/>
      </c>
      <c r="L62" s="24">
        <f>(J62-I62)*24</f>
        <v/>
      </c>
      <c r="M62" s="23" t="inlineStr">
        <is>
          <t>–</t>
        </is>
      </c>
      <c r="N62" s="23" t="inlineStr"/>
      <c r="O62" s="23" t="inlineStr">
        <is>
          <t>Sailed</t>
        </is>
      </c>
    </row>
    <row r="63">
      <c r="A63" s="4" t="inlineStr">
        <is>
          <t>20F</t>
        </is>
      </c>
      <c r="B63" s="4" t="inlineStr">
        <is>
          <t>SAWASDEE INCHEON</t>
        </is>
      </c>
      <c r="C63" s="23" t="n">
        <v>564</v>
      </c>
      <c r="D63" s="10" t="n">
        <v>46307</v>
      </c>
      <c r="E63" s="10" t="n">
        <v>46310</v>
      </c>
      <c r="F63" s="23" t="n">
        <v>4</v>
      </c>
      <c r="G63" s="5" t="inlineStr">
        <is>
          <t>20F</t>
        </is>
      </c>
      <c r="H63" s="11" t="n">
        <v>46308.625</v>
      </c>
      <c r="I63" s="11" t="n">
        <v>46309.25</v>
      </c>
      <c r="J63" s="11" t="n">
        <v>46311.25</v>
      </c>
      <c r="K63" s="24">
        <f>(I63-H63)*24</f>
        <v/>
      </c>
      <c r="L63" s="24">
        <f>(J63-I63)*24</f>
        <v/>
      </c>
      <c r="M63" s="23" t="inlineStr">
        <is>
          <t>–</t>
        </is>
      </c>
      <c r="N63" s="23" t="inlineStr"/>
      <c r="O63" s="23" t="inlineStr">
        <is>
          <t>Sailed</t>
        </is>
      </c>
    </row>
    <row r="64">
      <c r="A64" s="4" t="inlineStr">
        <is>
          <t>20F</t>
        </is>
      </c>
      <c r="B64" s="4" t="inlineStr">
        <is>
          <t>INGENUITY</t>
        </is>
      </c>
      <c r="C64" s="23" t="n">
        <v>564</v>
      </c>
      <c r="D64" s="10" t="n">
        <v>46310</v>
      </c>
      <c r="E64" s="10" t="n">
        <v>46312</v>
      </c>
      <c r="F64" s="23" t="n">
        <v>3</v>
      </c>
      <c r="G64" s="5" t="inlineStr">
        <is>
          <t>20F</t>
        </is>
      </c>
      <c r="H64" s="11" t="n">
        <v>46311.95833333334</v>
      </c>
      <c r="I64" s="11" t="n">
        <v>46312.33333333334</v>
      </c>
      <c r="J64" s="11" t="n">
        <v>46313.29166666666</v>
      </c>
      <c r="K64" s="24">
        <f>(I64-H64)*24</f>
        <v/>
      </c>
      <c r="L64" s="24">
        <f>(J64-I64)*24</f>
        <v/>
      </c>
      <c r="M64" s="23" t="inlineStr">
        <is>
          <t>–</t>
        </is>
      </c>
      <c r="N64" s="23" t="inlineStr"/>
      <c r="O64" s="23" t="inlineStr">
        <is>
          <t>Sailed</t>
        </is>
      </c>
    </row>
    <row r="65">
      <c r="A65" s="4" t="inlineStr">
        <is>
          <t>20F</t>
        </is>
      </c>
      <c r="B65" s="4" t="inlineStr">
        <is>
          <t>XIN MING ZHOU 108</t>
        </is>
      </c>
      <c r="C65" s="23" t="n">
        <v>564</v>
      </c>
      <c r="D65" s="10" t="n">
        <v>46310</v>
      </c>
      <c r="E65" s="10" t="n">
        <v>46314</v>
      </c>
      <c r="F65" s="23" t="n">
        <v>5</v>
      </c>
      <c r="G65" s="6" t="inlineStr">
        <is>
          <t>20B → 20F</t>
        </is>
      </c>
      <c r="H65" s="11" t="n">
        <v>46312.41666666666</v>
      </c>
      <c r="I65" s="11" t="n">
        <v>46313.33333333334</v>
      </c>
      <c r="J65" s="11" t="n">
        <v>46314.5</v>
      </c>
      <c r="K65" s="24">
        <f>(I65-H65)*24</f>
        <v/>
      </c>
      <c r="L65" s="24">
        <f>(J65-I65)*24</f>
        <v/>
      </c>
      <c r="M65" s="23" t="inlineStr">
        <is>
          <t>–</t>
        </is>
      </c>
      <c r="N65" s="23" t="inlineStr"/>
      <c r="O65" s="23" t="inlineStr">
        <is>
          <t>Sailed</t>
        </is>
      </c>
    </row>
    <row r="66">
      <c r="A66" s="4" t="inlineStr">
        <is>
          <t>20F</t>
        </is>
      </c>
      <c r="B66" s="4" t="inlineStr">
        <is>
          <t>RENOWN</t>
        </is>
      </c>
      <c r="C66" s="23" t="n">
        <v>458</v>
      </c>
      <c r="D66" s="10" t="n">
        <v>46315</v>
      </c>
      <c r="E66" s="10" t="n">
        <v>46316</v>
      </c>
      <c r="F66" s="23" t="n">
        <v>2</v>
      </c>
      <c r="G66" s="5" t="inlineStr">
        <is>
          <t>20F</t>
        </is>
      </c>
      <c r="H66" s="11" t="n">
        <v>46315.75</v>
      </c>
      <c r="I66" s="11" t="n">
        <v>46317.41666666666</v>
      </c>
      <c r="J66" s="11" t="n">
        <v>46318.41666666666</v>
      </c>
      <c r="K66" s="24">
        <f>(I66-H66)*24</f>
        <v/>
      </c>
      <c r="L66" s="24">
        <f>(J66-I66)*24</f>
        <v/>
      </c>
      <c r="M66" s="23" t="inlineStr">
        <is>
          <t>–</t>
        </is>
      </c>
      <c r="N66" s="23" t="inlineStr"/>
      <c r="O66" s="23">
        <f>IF(J66&lt;=$B$3,"Sailed",IF(I66&lt;=$B$3,"Alongside",IF(H66&lt;=$B$3,"At anchorage","Expected")))</f>
        <v/>
      </c>
    </row>
    <row r="67">
      <c r="A67" s="4" t="inlineStr">
        <is>
          <t>20F</t>
        </is>
      </c>
      <c r="B67" s="4" t="inlineStr">
        <is>
          <t>WAN HAI 272</t>
        </is>
      </c>
      <c r="C67" s="23" t="n">
        <v>565</v>
      </c>
      <c r="D67" s="10" t="n">
        <v>46315</v>
      </c>
      <c r="E67" s="10" t="n">
        <v>46316</v>
      </c>
      <c r="F67" s="23" t="n">
        <v>2</v>
      </c>
      <c r="G67" s="6" t="inlineStr">
        <is>
          <t>22A → 20F</t>
        </is>
      </c>
      <c r="H67" s="11" t="n">
        <v>46318.41666666666</v>
      </c>
      <c r="I67" s="11" t="n">
        <v>46318.41666666666</v>
      </c>
      <c r="J67" s="11" t="n">
        <v>46319.58333333334</v>
      </c>
      <c r="K67" s="24">
        <f>(I67-H67)*24</f>
        <v/>
      </c>
      <c r="L67" s="24">
        <f>(J67-I67)*24</f>
        <v/>
      </c>
      <c r="M67" s="23" t="inlineStr">
        <is>
          <t>–</t>
        </is>
      </c>
      <c r="N67" s="23" t="inlineStr"/>
      <c r="O67" s="23">
        <f>IF(J67&lt;=$B$3,"Sailed",IF(I67&lt;=$B$3,"Alongside",IF(H67&lt;=$B$3,"At anchorage","Expected")))</f>
        <v/>
      </c>
    </row>
    <row r="69">
      <c r="A69" s="2" t="inlineStr">
        <is>
          <t>62 vessels in total. Orange cells: marked on sheet, or the vessel changed berth.</t>
        </is>
      </c>
    </row>
  </sheetData>
  <autoFilter ref="A5:O67"/>
  <mergeCells count="1">
    <mergeCell ref="A2:O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20"/>
  <sheetViews>
    <sheetView workbookViewId="0">
      <pane ySplit="3" topLeftCell="A4" activePane="bottomLeft" state="frozen"/>
      <selection pane="bottomLeft" activeCell="A1" sqref="A1"/>
    </sheetView>
  </sheetViews>
  <sheetFormatPr baseColWidth="8" defaultRowHeight="15"/>
  <cols>
    <col width="10" customWidth="1" min="1" max="1"/>
    <col width="20" customWidth="1" min="2" max="2"/>
    <col width="10" customWidth="1" min="3" max="3"/>
    <col width="16" customWidth="1" min="4" max="4"/>
    <col width="16" customWidth="1" min="5" max="5"/>
    <col width="16" customWidth="1" min="6" max="6"/>
    <col width="18" customWidth="1" min="7" max="7"/>
    <col width="16" customWidth="1" min="8" max="8"/>
    <col width="10" customWidth="1" min="9" max="9"/>
    <col width="10" customWidth="1" min="10" max="10"/>
  </cols>
  <sheetData>
    <row r="1">
      <c r="A1" s="1" t="inlineStr">
        <is>
          <t>PAT Berth Window — Vessel List by Berth — Sheet dated 28 Sep 2026</t>
        </is>
      </c>
    </row>
    <row r="3">
      <c r="A3" s="3" t="inlineStr">
        <is>
          <t>Berth</t>
        </is>
      </c>
      <c r="B3" s="3" t="inlineStr">
        <is>
          <t>Vessel</t>
        </is>
      </c>
      <c r="C3" s="3" t="inlineStr">
        <is>
          <t>LOA (m)</t>
        </is>
      </c>
      <c r="D3" s="3" t="inlineStr">
        <is>
          <t>ETA</t>
        </is>
      </c>
      <c r="E3" s="3" t="inlineStr">
        <is>
          <t>P.B</t>
        </is>
      </c>
      <c r="F3" s="3" t="inlineStr">
        <is>
          <t>ETD</t>
        </is>
      </c>
      <c r="G3" s="3" t="inlineStr">
        <is>
          <t>Waiting for Berth (h)</t>
        </is>
      </c>
      <c r="H3" s="3" t="inlineStr">
        <is>
          <t>Hours Alongside</t>
        </is>
      </c>
      <c r="I3" s="3" t="inlineStr">
        <is>
          <t>Shift</t>
        </is>
      </c>
      <c r="J3" s="3" t="inlineStr">
        <is>
          <t>Marked</t>
        </is>
      </c>
    </row>
    <row r="4">
      <c r="A4" s="5" t="inlineStr">
        <is>
          <t>20AB</t>
        </is>
      </c>
      <c r="B4" s="5" t="inlineStr">
        <is>
          <t>INFINITY</t>
        </is>
      </c>
      <c r="C4" s="23" t="n">
        <v>565</v>
      </c>
      <c r="D4" s="11" t="n">
        <v>46293.29166666666</v>
      </c>
      <c r="E4" s="11" t="n">
        <v>46293.29166666666</v>
      </c>
      <c r="F4" s="11" t="n">
        <v>46294.625</v>
      </c>
      <c r="G4" s="24">
        <f>(E4-D4)*24</f>
        <v/>
      </c>
      <c r="H4" s="24">
        <f>(F4-E4)*24</f>
        <v/>
      </c>
      <c r="I4" s="23" t="inlineStr">
        <is>
          <t>–</t>
        </is>
      </c>
      <c r="J4" s="23" t="inlineStr"/>
    </row>
    <row r="5">
      <c r="A5" s="5" t="inlineStr">
        <is>
          <t>20AB</t>
        </is>
      </c>
      <c r="B5" s="5" t="inlineStr">
        <is>
          <t>SKY CHALLENGE</t>
        </is>
      </c>
      <c r="C5" s="23" t="n">
        <v>565</v>
      </c>
      <c r="D5" s="11" t="n">
        <v>46294.45833333334</v>
      </c>
      <c r="E5" s="11" t="n">
        <v>46294.66666666666</v>
      </c>
      <c r="F5" s="11" t="n">
        <v>46296.16666666666</v>
      </c>
      <c r="G5" s="24">
        <f>(E5-D5)*24</f>
        <v/>
      </c>
      <c r="H5" s="24">
        <f>(F5-E5)*24</f>
        <v/>
      </c>
      <c r="I5" s="23" t="inlineStr">
        <is>
          <t>–</t>
        </is>
      </c>
      <c r="J5" s="23" t="inlineStr"/>
    </row>
    <row r="6">
      <c r="A6" s="5" t="inlineStr">
        <is>
          <t>20AB</t>
        </is>
      </c>
      <c r="B6" s="5" t="inlineStr">
        <is>
          <t>CAPE FAWLEY</t>
        </is>
      </c>
      <c r="C6" s="23" t="n">
        <v>558</v>
      </c>
      <c r="D6" s="11" t="n">
        <v>46295.875</v>
      </c>
      <c r="E6" s="11" t="n">
        <v>46296.25</v>
      </c>
      <c r="F6" s="11" t="n">
        <v>46297.25</v>
      </c>
      <c r="G6" s="24">
        <f>(E6-D6)*24</f>
        <v/>
      </c>
      <c r="H6" s="24">
        <f>(F6-E6)*24</f>
        <v/>
      </c>
      <c r="I6" s="23" t="inlineStr">
        <is>
          <t>–</t>
        </is>
      </c>
      <c r="J6" s="23" t="inlineStr"/>
    </row>
    <row r="7">
      <c r="A7" s="5" t="inlineStr">
        <is>
          <t>20B</t>
        </is>
      </c>
      <c r="B7" s="5" t="inlineStr">
        <is>
          <t>KMTC GWANGYANG</t>
        </is>
      </c>
      <c r="C7" s="23" t="n">
        <v>564</v>
      </c>
      <c r="D7" s="11" t="n">
        <v>46292.79166666666</v>
      </c>
      <c r="E7" s="11" t="n">
        <v>46292.79166666666</v>
      </c>
      <c r="F7" s="11" t="n">
        <v>46294.20833333334</v>
      </c>
      <c r="G7" s="24">
        <f>(E7-D7)*24</f>
        <v/>
      </c>
      <c r="H7" s="24">
        <f>(F7-E7)*24</f>
        <v/>
      </c>
      <c r="I7" s="23" t="inlineStr">
        <is>
          <t>–</t>
        </is>
      </c>
      <c r="J7" s="23" t="inlineStr"/>
    </row>
    <row r="8">
      <c r="A8" s="5" t="inlineStr">
        <is>
          <t>20B</t>
        </is>
      </c>
      <c r="B8" s="5" t="inlineStr">
        <is>
          <t>MILLENNIUM BRIGHT</t>
        </is>
      </c>
      <c r="C8" s="23" t="n">
        <v>564</v>
      </c>
      <c r="D8" s="11" t="n">
        <v>46293.45833333334</v>
      </c>
      <c r="E8" s="11" t="n">
        <v>46294.20833333334</v>
      </c>
      <c r="F8" s="11" t="n">
        <v>46295.16666666666</v>
      </c>
      <c r="G8" s="24">
        <f>(E8-D8)*24</f>
        <v/>
      </c>
      <c r="H8" s="24">
        <f>(F8-E8)*24</f>
        <v/>
      </c>
      <c r="I8" s="23" t="inlineStr">
        <is>
          <t>–</t>
        </is>
      </c>
      <c r="J8" s="23" t="inlineStr"/>
    </row>
    <row r="9">
      <c r="A9" s="5" t="inlineStr">
        <is>
          <t>20B</t>
        </is>
      </c>
      <c r="B9" s="5" t="inlineStr">
        <is>
          <t>M ODYSSEY</t>
        </is>
      </c>
      <c r="C9" s="23" t="n">
        <v>449</v>
      </c>
      <c r="D9" s="11" t="n">
        <v>46295.16666666666</v>
      </c>
      <c r="E9" s="11" t="n">
        <v>46295.20833333334</v>
      </c>
      <c r="F9" s="11" t="n">
        <v>46296.70833333334</v>
      </c>
      <c r="G9" s="24">
        <f>(E9-D9)*24</f>
        <v/>
      </c>
      <c r="H9" s="24">
        <f>(F9-E9)*24</f>
        <v/>
      </c>
      <c r="I9" s="23" t="inlineStr">
        <is>
          <t>4A</t>
        </is>
      </c>
      <c r="J9" s="23" t="inlineStr"/>
    </row>
    <row r="10">
      <c r="A10" s="5" t="inlineStr">
        <is>
          <t>20D</t>
        </is>
      </c>
      <c r="B10" s="5" t="inlineStr">
        <is>
          <t>BANGKOK</t>
        </is>
      </c>
      <c r="C10" s="23" t="n">
        <v>551</v>
      </c>
      <c r="D10" s="11" t="n">
        <v>46292.625</v>
      </c>
      <c r="E10" s="11" t="n">
        <v>46292.625</v>
      </c>
      <c r="F10" s="11" t="n">
        <v>46294.58333333334</v>
      </c>
      <c r="G10" s="24">
        <f>(E10-D10)*24</f>
        <v/>
      </c>
      <c r="H10" s="24">
        <f>(F10-E10)*24</f>
        <v/>
      </c>
      <c r="I10" s="23" t="inlineStr">
        <is>
          <t>–</t>
        </is>
      </c>
      <c r="J10" s="23" t="inlineStr"/>
    </row>
    <row r="11">
      <c r="A11" s="5" t="inlineStr">
        <is>
          <t>20E</t>
        </is>
      </c>
      <c r="B11" s="5" t="inlineStr">
        <is>
          <t>TS CHIBA</t>
        </is>
      </c>
      <c r="C11" s="23" t="n">
        <v>485</v>
      </c>
      <c r="D11" s="11" t="n">
        <v>46293.29166666666</v>
      </c>
      <c r="E11" s="11" t="n">
        <v>46293.29166666666</v>
      </c>
      <c r="F11" s="11" t="n">
        <v>46294.16666666666</v>
      </c>
      <c r="G11" s="24">
        <f>(E11-D11)*24</f>
        <v/>
      </c>
      <c r="H11" s="24">
        <f>(F11-E11)*24</f>
        <v/>
      </c>
      <c r="I11" s="23" t="inlineStr">
        <is>
          <t>–</t>
        </is>
      </c>
      <c r="J11" s="23" t="inlineStr"/>
    </row>
    <row r="12">
      <c r="A12" s="5" t="inlineStr">
        <is>
          <t>20E</t>
        </is>
      </c>
      <c r="B12" s="5" t="inlineStr">
        <is>
          <t>HOPE C</t>
        </is>
      </c>
      <c r="C12" s="23" t="n">
        <v>481</v>
      </c>
      <c r="D12" s="11" t="n">
        <v>46294.70833333334</v>
      </c>
      <c r="E12" s="11" t="n">
        <v>46294.70833333334</v>
      </c>
      <c r="F12" s="11" t="n">
        <v>46296.20833333334</v>
      </c>
      <c r="G12" s="24">
        <f>(E12-D12)*24</f>
        <v/>
      </c>
      <c r="H12" s="24">
        <f>(F12-E12)*24</f>
        <v/>
      </c>
      <c r="I12" s="23" t="inlineStr">
        <is>
          <t>–</t>
        </is>
      </c>
      <c r="J12" s="23" t="inlineStr"/>
    </row>
    <row r="13">
      <c r="A13" s="6" t="inlineStr">
        <is>
          <t>20F</t>
        </is>
      </c>
      <c r="B13" s="6" t="inlineStr">
        <is>
          <t>JARU BHUM</t>
        </is>
      </c>
      <c r="C13" s="17" t="n">
        <v>564</v>
      </c>
      <c r="D13" s="20" t="n">
        <v>46293.33333333334</v>
      </c>
      <c r="E13" s="20" t="n">
        <v>46293.33333333334</v>
      </c>
      <c r="F13" s="20" t="n">
        <v>46294.16666666666</v>
      </c>
      <c r="G13" s="26">
        <f>(E13-D13)*24</f>
        <v/>
      </c>
      <c r="H13" s="26">
        <f>(F13-E13)*24</f>
        <v/>
      </c>
      <c r="I13" s="17" t="inlineStr">
        <is>
          <t>7B</t>
        </is>
      </c>
      <c r="J13" s="17" t="inlineStr">
        <is>
          <t>Yes</t>
        </is>
      </c>
    </row>
    <row r="14">
      <c r="A14" s="5" t="inlineStr">
        <is>
          <t>20F</t>
        </is>
      </c>
      <c r="B14" s="5" t="inlineStr">
        <is>
          <t>MITRA BHUM</t>
        </is>
      </c>
      <c r="C14" s="23" t="n">
        <v>485</v>
      </c>
      <c r="D14" s="11" t="n">
        <v>46294.95833333334</v>
      </c>
      <c r="E14" s="11" t="n">
        <v>46295.20833333334</v>
      </c>
      <c r="F14" s="11" t="n">
        <v>46295.75</v>
      </c>
      <c r="G14" s="24">
        <f>(E14-D14)*24</f>
        <v/>
      </c>
      <c r="H14" s="24">
        <f>(F14-E14)*24</f>
        <v/>
      </c>
      <c r="I14" s="23" t="inlineStr">
        <is>
          <t>–</t>
        </is>
      </c>
      <c r="J14" s="23" t="inlineStr"/>
    </row>
    <row r="17">
      <c r="A17" s="34" t="inlineStr">
        <is>
          <t>Berth &amp; gate notices on this sheet</t>
        </is>
      </c>
    </row>
    <row r="18">
      <c r="A18" s="3" t="inlineStr">
        <is>
          <t>Berth / Gate</t>
        </is>
      </c>
      <c r="B18" s="3" t="inlineStr">
        <is>
          <t>Type</t>
        </is>
      </c>
      <c r="C18" s="3" t="n"/>
      <c r="D18" s="3" t="inlineStr">
        <is>
          <t>From</t>
        </is>
      </c>
      <c r="E18" s="3" t="inlineStr">
        <is>
          <t>To</t>
        </is>
      </c>
      <c r="F18" s="3" t="inlineStr">
        <is>
          <t>Notice / change vs previous sheet</t>
        </is>
      </c>
      <c r="G18" s="35" t="n"/>
      <c r="H18" s="35" t="n"/>
      <c r="I18" s="35" t="n"/>
      <c r="J18" s="36" t="n"/>
    </row>
    <row r="19" ht="42" customHeight="1">
      <c r="A19" s="9" t="inlineStr">
        <is>
          <t>20C</t>
        </is>
      </c>
      <c r="B19" s="9" t="inlineStr">
        <is>
          <t>Berth closed</t>
        </is>
      </c>
      <c r="C19" s="37" t="n"/>
      <c r="D19" s="10" t="n">
        <v>46212</v>
      </c>
      <c r="E19" s="10" t="n">
        <v>46295</v>
      </c>
      <c r="F19" s="9" t="inlineStr">
        <is>
          <t>20C closed 9 Jul – 30 Sep 2026 (cable track repair)  —  First sheet in the log</t>
        </is>
      </c>
      <c r="G19" s="37" t="n"/>
      <c r="H19" s="37" t="n"/>
      <c r="I19" s="37" t="n"/>
      <c r="J19" s="37" t="n"/>
    </row>
    <row r="20" ht="42" customHeight="1">
      <c r="A20" s="9" t="inlineStr">
        <is>
          <t>20D</t>
        </is>
      </c>
      <c r="B20" s="9" t="inlineStr">
        <is>
          <t>Cable splicing</t>
        </is>
      </c>
      <c r="C20" s="37" t="n"/>
      <c r="D20" s="11" t="n">
        <v>46295.35416666666</v>
      </c>
      <c r="E20" s="11" t="n">
        <v>46295.6875</v>
      </c>
      <c r="F20" s="9" t="inlineStr">
        <is>
          <t>20D 30 Sep 08:30–16:30 (cable splicing)  —  First sheet in the log</t>
        </is>
      </c>
      <c r="G20" s="37" t="n"/>
      <c r="H20" s="37" t="n"/>
      <c r="I20" s="37" t="n"/>
      <c r="J20" s="37" t="n"/>
    </row>
  </sheetData>
  <mergeCells count="3">
    <mergeCell ref="F19:J19"/>
    <mergeCell ref="F18:J18"/>
    <mergeCell ref="F20:J2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21"/>
  <sheetViews>
    <sheetView workbookViewId="0">
      <pane ySplit="3" topLeftCell="A4" activePane="bottomLeft" state="frozen"/>
      <selection pane="bottomLeft" activeCell="A1" sqref="A1"/>
    </sheetView>
  </sheetViews>
  <sheetFormatPr baseColWidth="8" defaultRowHeight="15"/>
  <cols>
    <col width="10" customWidth="1" min="1" max="1"/>
    <col width="20" customWidth="1" min="2" max="2"/>
    <col width="10" customWidth="1" min="3" max="3"/>
    <col width="16" customWidth="1" min="4" max="4"/>
    <col width="16" customWidth="1" min="5" max="5"/>
    <col width="16" customWidth="1" min="6" max="6"/>
    <col width="18" customWidth="1" min="7" max="7"/>
    <col width="16" customWidth="1" min="8" max="8"/>
    <col width="10" customWidth="1" min="9" max="9"/>
    <col width="10" customWidth="1" min="10" max="10"/>
  </cols>
  <sheetData>
    <row r="1">
      <c r="A1" s="1" t="inlineStr">
        <is>
          <t>PAT Berth Window — Vessel List by Berth — Sheet dated 29 Sep 2026</t>
        </is>
      </c>
    </row>
    <row r="3">
      <c r="A3" s="3" t="inlineStr">
        <is>
          <t>Berth</t>
        </is>
      </c>
      <c r="B3" s="3" t="inlineStr">
        <is>
          <t>Vessel</t>
        </is>
      </c>
      <c r="C3" s="3" t="inlineStr">
        <is>
          <t>LOA (m)</t>
        </is>
      </c>
      <c r="D3" s="3" t="inlineStr">
        <is>
          <t>ETA</t>
        </is>
      </c>
      <c r="E3" s="3" t="inlineStr">
        <is>
          <t>P.B</t>
        </is>
      </c>
      <c r="F3" s="3" t="inlineStr">
        <is>
          <t>ETD</t>
        </is>
      </c>
      <c r="G3" s="3" t="inlineStr">
        <is>
          <t>Waiting for Berth (h)</t>
        </is>
      </c>
      <c r="H3" s="3" t="inlineStr">
        <is>
          <t>Hours Alongside</t>
        </is>
      </c>
      <c r="I3" s="3" t="inlineStr">
        <is>
          <t>Shift</t>
        </is>
      </c>
      <c r="J3" s="3" t="inlineStr">
        <is>
          <t>Marked</t>
        </is>
      </c>
    </row>
    <row r="4">
      <c r="A4" s="5" t="inlineStr">
        <is>
          <t>20AB</t>
        </is>
      </c>
      <c r="B4" s="5" t="inlineStr">
        <is>
          <t>INFINITY</t>
        </is>
      </c>
      <c r="C4" s="23" t="n">
        <v>565</v>
      </c>
      <c r="D4" s="11" t="n">
        <v>46292.75</v>
      </c>
      <c r="E4" s="11" t="n">
        <v>46293.20833333334</v>
      </c>
      <c r="F4" s="11" t="n">
        <v>46294.625</v>
      </c>
      <c r="G4" s="24">
        <f>(E4-D4)*24</f>
        <v/>
      </c>
      <c r="H4" s="24">
        <f>(F4-E4)*24</f>
        <v/>
      </c>
      <c r="I4" s="23" t="inlineStr">
        <is>
          <t>–</t>
        </is>
      </c>
      <c r="J4" s="23" t="inlineStr"/>
    </row>
    <row r="5">
      <c r="A5" s="5" t="inlineStr">
        <is>
          <t>20AB</t>
        </is>
      </c>
      <c r="B5" s="5" t="inlineStr">
        <is>
          <t>SKY CHALLENGE</t>
        </is>
      </c>
      <c r="C5" s="23" t="n">
        <v>565</v>
      </c>
      <c r="D5" s="11" t="n">
        <v>46294.33333333334</v>
      </c>
      <c r="E5" s="11" t="n">
        <v>46294.66666666666</v>
      </c>
      <c r="F5" s="11" t="n">
        <v>46296.16666666666</v>
      </c>
      <c r="G5" s="24">
        <f>(E5-D5)*24</f>
        <v/>
      </c>
      <c r="H5" s="24">
        <f>(F5-E5)*24</f>
        <v/>
      </c>
      <c r="I5" s="23" t="inlineStr">
        <is>
          <t>–</t>
        </is>
      </c>
      <c r="J5" s="23" t="inlineStr"/>
    </row>
    <row r="6">
      <c r="A6" s="5" t="inlineStr">
        <is>
          <t>20AB</t>
        </is>
      </c>
      <c r="B6" s="5" t="inlineStr">
        <is>
          <t>KHARIS HERITAGE</t>
        </is>
      </c>
      <c r="C6" s="23" t="n">
        <v>482</v>
      </c>
      <c r="D6" s="11" t="n">
        <v>46296.29166666666</v>
      </c>
      <c r="E6" s="11" t="n">
        <v>46296.29166666666</v>
      </c>
      <c r="F6" s="11" t="n">
        <v>46297.25</v>
      </c>
      <c r="G6" s="24">
        <f>(E6-D6)*24</f>
        <v/>
      </c>
      <c r="H6" s="24">
        <f>(F6-E6)*24</f>
        <v/>
      </c>
      <c r="I6" s="23" t="inlineStr">
        <is>
          <t>–</t>
        </is>
      </c>
      <c r="J6" s="23" t="inlineStr"/>
    </row>
    <row r="7">
      <c r="A7" s="5" t="inlineStr">
        <is>
          <t>20B</t>
        </is>
      </c>
      <c r="B7" s="5" t="inlineStr">
        <is>
          <t>MILLENNIUM BRIGHT</t>
        </is>
      </c>
      <c r="C7" s="23" t="n">
        <v>564</v>
      </c>
      <c r="D7" s="11" t="n">
        <v>46293.45833333334</v>
      </c>
      <c r="E7" s="11" t="n">
        <v>46294.20833333334</v>
      </c>
      <c r="F7" s="11" t="n">
        <v>46295.16666666666</v>
      </c>
      <c r="G7" s="24">
        <f>(E7-D7)*24</f>
        <v/>
      </c>
      <c r="H7" s="24">
        <f>(F7-E7)*24</f>
        <v/>
      </c>
      <c r="I7" s="23" t="inlineStr">
        <is>
          <t>–</t>
        </is>
      </c>
      <c r="J7" s="23" t="inlineStr"/>
    </row>
    <row r="8">
      <c r="A8" s="5" t="inlineStr">
        <is>
          <t>20B</t>
        </is>
      </c>
      <c r="B8" s="5" t="inlineStr">
        <is>
          <t>M ODYSSEY</t>
        </is>
      </c>
      <c r="C8" s="23" t="n">
        <v>449</v>
      </c>
      <c r="D8" s="11" t="n">
        <v>46295.16666666666</v>
      </c>
      <c r="E8" s="11" t="n">
        <v>46295.20833333334</v>
      </c>
      <c r="F8" s="11" t="n">
        <v>46296.20833333334</v>
      </c>
      <c r="G8" s="24">
        <f>(E8-D8)*24</f>
        <v/>
      </c>
      <c r="H8" s="24">
        <f>(F8-E8)*24</f>
        <v/>
      </c>
      <c r="I8" s="23" t="inlineStr">
        <is>
          <t>4A</t>
        </is>
      </c>
      <c r="J8" s="23" t="inlineStr"/>
    </row>
    <row r="9">
      <c r="A9" s="5" t="inlineStr">
        <is>
          <t>20C</t>
        </is>
      </c>
      <c r="B9" s="5" t="inlineStr">
        <is>
          <t>CAPE FAWLEY</t>
        </is>
      </c>
      <c r="C9" s="23" t="n">
        <v>558</v>
      </c>
      <c r="D9" s="11" t="n">
        <v>46295.875</v>
      </c>
      <c r="E9" s="11" t="n">
        <v>46296.25</v>
      </c>
      <c r="F9" s="11" t="n">
        <v>46297.25</v>
      </c>
      <c r="G9" s="24">
        <f>(E9-D9)*24</f>
        <v/>
      </c>
      <c r="H9" s="24">
        <f>(F9-E9)*24</f>
        <v/>
      </c>
      <c r="I9" s="23" t="inlineStr">
        <is>
          <t>–</t>
        </is>
      </c>
      <c r="J9" s="23" t="inlineStr"/>
    </row>
    <row r="10">
      <c r="A10" s="5" t="inlineStr">
        <is>
          <t>20D</t>
        </is>
      </c>
      <c r="B10" s="5" t="inlineStr">
        <is>
          <t>BANGKOK</t>
        </is>
      </c>
      <c r="C10" s="23" t="n">
        <v>551</v>
      </c>
      <c r="D10" s="11" t="n">
        <v>46292.54166666666</v>
      </c>
      <c r="E10" s="11" t="n">
        <v>46292.625</v>
      </c>
      <c r="F10" s="11" t="n">
        <v>46294.58333333334</v>
      </c>
      <c r="G10" s="24">
        <f>(E10-D10)*24</f>
        <v/>
      </c>
      <c r="H10" s="24">
        <f>(F10-E10)*24</f>
        <v/>
      </c>
      <c r="I10" s="23" t="inlineStr">
        <is>
          <t>–</t>
        </is>
      </c>
      <c r="J10" s="23" t="inlineStr"/>
    </row>
    <row r="11">
      <c r="A11" s="5" t="inlineStr">
        <is>
          <t>20E</t>
        </is>
      </c>
      <c r="B11" s="5" t="inlineStr">
        <is>
          <t>MITRA BHUM</t>
        </is>
      </c>
      <c r="C11" s="23" t="n">
        <v>485</v>
      </c>
      <c r="D11" s="11" t="n">
        <v>46295.125</v>
      </c>
      <c r="E11" s="11" t="n">
        <v>46295.20833333334</v>
      </c>
      <c r="F11" s="11" t="n">
        <v>46295.75</v>
      </c>
      <c r="G11" s="24">
        <f>(E11-D11)*24</f>
        <v/>
      </c>
      <c r="H11" s="24">
        <f>(F11-E11)*24</f>
        <v/>
      </c>
      <c r="I11" s="23" t="inlineStr">
        <is>
          <t>–</t>
        </is>
      </c>
      <c r="J11" s="23" t="inlineStr"/>
    </row>
    <row r="12">
      <c r="A12" s="5" t="inlineStr">
        <is>
          <t>20F</t>
        </is>
      </c>
      <c r="B12" s="5" t="inlineStr">
        <is>
          <t>HOPE C</t>
        </is>
      </c>
      <c r="C12" s="23" t="n">
        <v>481</v>
      </c>
      <c r="D12" s="11" t="n">
        <v>46294.70833333334</v>
      </c>
      <c r="E12" s="11" t="n">
        <v>46294.70833333334</v>
      </c>
      <c r="F12" s="11" t="n">
        <v>46295.66666666666</v>
      </c>
      <c r="G12" s="24">
        <f>(E12-D12)*24</f>
        <v/>
      </c>
      <c r="H12" s="24">
        <f>(F12-E12)*24</f>
        <v/>
      </c>
      <c r="I12" s="23" t="inlineStr">
        <is>
          <t>–</t>
        </is>
      </c>
      <c r="J12" s="23" t="inlineStr"/>
    </row>
    <row r="13">
      <c r="A13" s="5" t="inlineStr">
        <is>
          <t>20F</t>
        </is>
      </c>
      <c r="B13" s="5" t="inlineStr">
        <is>
          <t>ALS SUMIRE</t>
        </is>
      </c>
      <c r="C13" s="23" t="n">
        <v>537</v>
      </c>
      <c r="D13" s="11" t="n">
        <v>46296.54166666666</v>
      </c>
      <c r="E13" s="11" t="n">
        <v>46296.70833333334</v>
      </c>
      <c r="F13" s="11" t="n">
        <v>46297.70833333334</v>
      </c>
      <c r="G13" s="24">
        <f>(E13-D13)*24</f>
        <v/>
      </c>
      <c r="H13" s="24">
        <f>(F13-E13)*24</f>
        <v/>
      </c>
      <c r="I13" s="23" t="inlineStr">
        <is>
          <t>1C</t>
        </is>
      </c>
      <c r="J13" s="23" t="inlineStr"/>
    </row>
    <row r="16">
      <c r="A16" s="34" t="inlineStr">
        <is>
          <t>Berth &amp; gate notices on this sheet</t>
        </is>
      </c>
    </row>
    <row r="17">
      <c r="A17" s="3" t="inlineStr">
        <is>
          <t>Berth / Gate</t>
        </is>
      </c>
      <c r="B17" s="3" t="inlineStr">
        <is>
          <t>Type</t>
        </is>
      </c>
      <c r="C17" s="3" t="n"/>
      <c r="D17" s="3" t="inlineStr">
        <is>
          <t>From</t>
        </is>
      </c>
      <c r="E17" s="3" t="inlineStr">
        <is>
          <t>To</t>
        </is>
      </c>
      <c r="F17" s="3" t="inlineStr">
        <is>
          <t>Notice / change vs previous sheet</t>
        </is>
      </c>
      <c r="G17" s="35" t="n"/>
      <c r="H17" s="35" t="n"/>
      <c r="I17" s="35" t="n"/>
      <c r="J17" s="36" t="n"/>
    </row>
    <row r="18" ht="42" customHeight="1">
      <c r="A18" s="16" t="inlineStr">
        <is>
          <t>20AB / G.29</t>
        </is>
      </c>
      <c r="B18" s="16" t="inlineStr">
        <is>
          <t>Gate stopped</t>
        </is>
      </c>
      <c r="C18" s="38" t="n"/>
      <c r="D18" s="18" t="n">
        <v>46294</v>
      </c>
      <c r="E18" s="18" t="n">
        <v>46295</v>
      </c>
      <c r="F18" s="16" t="inlineStr">
        <is>
          <t>G.29 stops working 29–30 Sep 2026 to repair spreader  —  New</t>
        </is>
      </c>
      <c r="G18" s="38" t="n"/>
      <c r="H18" s="38" t="n"/>
      <c r="I18" s="38" t="n"/>
      <c r="J18" s="38" t="n"/>
    </row>
    <row r="19" ht="42" customHeight="1">
      <c r="A19" s="16" t="inlineStr">
        <is>
          <t>20C</t>
        </is>
      </c>
      <c r="B19" s="16" t="inlineStr">
        <is>
          <t>Berth closed</t>
        </is>
      </c>
      <c r="C19" s="38" t="n"/>
      <c r="D19" s="17" t="inlineStr">
        <is>
          <t>–</t>
        </is>
      </c>
      <c r="E19" s="18" t="n">
        <v>46296</v>
      </c>
      <c r="F19" s="16" t="inlineStr">
        <is>
          <t>Wharf will be utilised on 1 Oct 2026  —  Reopening moved 30 Sep → 1 Oct</t>
        </is>
      </c>
      <c r="G19" s="38" t="n"/>
      <c r="H19" s="38" t="n"/>
      <c r="I19" s="38" t="n"/>
      <c r="J19" s="38" t="n"/>
    </row>
    <row r="20" ht="42" customHeight="1">
      <c r="A20" s="16" t="inlineStr">
        <is>
          <t>20D</t>
        </is>
      </c>
      <c r="B20" s="16" t="inlineStr">
        <is>
          <t>Berth closed</t>
        </is>
      </c>
      <c r="C20" s="38" t="n"/>
      <c r="D20" s="18" t="n">
        <v>46296</v>
      </c>
      <c r="E20" s="18" t="n">
        <v>46316</v>
      </c>
      <c r="F20" s="16" t="inlineStr">
        <is>
          <t>Close on 1–21 Oct 2026 to renovate electric channel  —  New (replaces the 30 Sep splicing notice)</t>
        </is>
      </c>
      <c r="G20" s="38" t="n"/>
      <c r="H20" s="38" t="n"/>
      <c r="I20" s="38" t="n"/>
      <c r="J20" s="38" t="n"/>
    </row>
    <row r="21" ht="42" customHeight="1">
      <c r="A21" s="16" t="inlineStr">
        <is>
          <t>20E / G.25</t>
        </is>
      </c>
      <c r="B21" s="16" t="inlineStr">
        <is>
          <t>Gate stopped</t>
        </is>
      </c>
      <c r="C21" s="38" t="n"/>
      <c r="D21" s="18" t="n">
        <v>46296</v>
      </c>
      <c r="E21" s="18" t="n">
        <v>46310</v>
      </c>
      <c r="F21" s="16" t="inlineStr">
        <is>
          <t>G.25 stops working 1–15 Oct 2026 to change trolley rail  —  New</t>
        </is>
      </c>
      <c r="G21" s="38" t="n"/>
      <c r="H21" s="38" t="n"/>
      <c r="I21" s="38" t="n"/>
      <c r="J21" s="38" t="n"/>
    </row>
  </sheetData>
  <mergeCells count="5">
    <mergeCell ref="F17:J17"/>
    <mergeCell ref="F21:J21"/>
    <mergeCell ref="F20:J20"/>
    <mergeCell ref="F19:J19"/>
    <mergeCell ref="F18:J18"/>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20"/>
  <sheetViews>
    <sheetView workbookViewId="0">
      <pane ySplit="3" topLeftCell="A4" activePane="bottomLeft" state="frozen"/>
      <selection pane="bottomLeft" activeCell="A1" sqref="A1"/>
    </sheetView>
  </sheetViews>
  <sheetFormatPr baseColWidth="8" defaultRowHeight="15"/>
  <cols>
    <col width="10" customWidth="1" min="1" max="1"/>
    <col width="20" customWidth="1" min="2" max="2"/>
    <col width="10" customWidth="1" min="3" max="3"/>
    <col width="16" customWidth="1" min="4" max="4"/>
    <col width="16" customWidth="1" min="5" max="5"/>
    <col width="16" customWidth="1" min="6" max="6"/>
    <col width="18" customWidth="1" min="7" max="7"/>
    <col width="16" customWidth="1" min="8" max="8"/>
    <col width="10" customWidth="1" min="9" max="9"/>
    <col width="10" customWidth="1" min="10" max="10"/>
  </cols>
  <sheetData>
    <row r="1">
      <c r="A1" s="1" t="inlineStr">
        <is>
          <t>PAT Berth Window — Vessel List by Berth — Sheet dated 30 Sep 2026</t>
        </is>
      </c>
    </row>
    <row r="3">
      <c r="A3" s="3" t="inlineStr">
        <is>
          <t>Berth</t>
        </is>
      </c>
      <c r="B3" s="3" t="inlineStr">
        <is>
          <t>Vessel</t>
        </is>
      </c>
      <c r="C3" s="3" t="inlineStr">
        <is>
          <t>LOA (m)</t>
        </is>
      </c>
      <c r="D3" s="3" t="inlineStr">
        <is>
          <t>ETA</t>
        </is>
      </c>
      <c r="E3" s="3" t="inlineStr">
        <is>
          <t>P.B</t>
        </is>
      </c>
      <c r="F3" s="3" t="inlineStr">
        <is>
          <t>ETD</t>
        </is>
      </c>
      <c r="G3" s="3" t="inlineStr">
        <is>
          <t>Waiting for Berth (h)</t>
        </is>
      </c>
      <c r="H3" s="3" t="inlineStr">
        <is>
          <t>Hours Alongside</t>
        </is>
      </c>
      <c r="I3" s="3" t="inlineStr">
        <is>
          <t>Shift</t>
        </is>
      </c>
      <c r="J3" s="3" t="inlineStr">
        <is>
          <t>Marked</t>
        </is>
      </c>
    </row>
    <row r="4">
      <c r="A4" s="5" t="inlineStr">
        <is>
          <t>20AB</t>
        </is>
      </c>
      <c r="B4" s="5" t="inlineStr">
        <is>
          <t>SKY CHALLENGE</t>
        </is>
      </c>
      <c r="C4" s="23" t="n">
        <v>565</v>
      </c>
      <c r="D4" s="11" t="n">
        <v>46294.33333333334</v>
      </c>
      <c r="E4" s="11" t="n">
        <v>46294.66666666666</v>
      </c>
      <c r="F4" s="11" t="n">
        <v>46296.16666666666</v>
      </c>
      <c r="G4" s="24">
        <f>(E4-D4)*24</f>
        <v/>
      </c>
      <c r="H4" s="24">
        <f>(F4-E4)*24</f>
        <v/>
      </c>
      <c r="I4" s="23" t="inlineStr">
        <is>
          <t>–</t>
        </is>
      </c>
      <c r="J4" s="23" t="inlineStr"/>
    </row>
    <row r="5">
      <c r="A5" s="5" t="inlineStr">
        <is>
          <t>20AB</t>
        </is>
      </c>
      <c r="B5" s="5" t="inlineStr">
        <is>
          <t>CAPE FAWLEY</t>
        </is>
      </c>
      <c r="C5" s="23" t="n">
        <v>558</v>
      </c>
      <c r="D5" s="11" t="n">
        <v>46295.875</v>
      </c>
      <c r="E5" s="11" t="n">
        <v>46296.25</v>
      </c>
      <c r="F5" s="11" t="n">
        <v>46297.25</v>
      </c>
      <c r="G5" s="24">
        <f>(E5-D5)*24</f>
        <v/>
      </c>
      <c r="H5" s="24">
        <f>(F5-E5)*24</f>
        <v/>
      </c>
      <c r="I5" s="23" t="inlineStr">
        <is>
          <t>–</t>
        </is>
      </c>
      <c r="J5" s="23" t="inlineStr"/>
    </row>
    <row r="6">
      <c r="A6" s="5" t="inlineStr">
        <is>
          <t>20AB</t>
        </is>
      </c>
      <c r="B6" s="5" t="inlineStr">
        <is>
          <t>KMTC BANGKOK</t>
        </is>
      </c>
      <c r="C6" s="23" t="n">
        <v>565</v>
      </c>
      <c r="D6" s="11" t="n">
        <v>46297.25</v>
      </c>
      <c r="E6" s="11" t="n">
        <v>46297.33333333334</v>
      </c>
      <c r="F6" s="11" t="n">
        <v>46298.70833333334</v>
      </c>
      <c r="G6" s="24">
        <f>(E6-D6)*24</f>
        <v/>
      </c>
      <c r="H6" s="24">
        <f>(F6-E6)*24</f>
        <v/>
      </c>
      <c r="I6" s="23" t="inlineStr">
        <is>
          <t>–</t>
        </is>
      </c>
      <c r="J6" s="23" t="inlineStr"/>
    </row>
    <row r="7">
      <c r="A7" s="5" t="inlineStr">
        <is>
          <t>20B</t>
        </is>
      </c>
      <c r="B7" s="5" t="inlineStr">
        <is>
          <t>M ODYSSEY</t>
        </is>
      </c>
      <c r="C7" s="23" t="n">
        <v>449</v>
      </c>
      <c r="D7" s="11" t="n">
        <v>46295.16666666666</v>
      </c>
      <c r="E7" s="11" t="n">
        <v>46295.20833333334</v>
      </c>
      <c r="F7" s="11" t="n">
        <v>46296.20833333334</v>
      </c>
      <c r="G7" s="24">
        <f>(E7-D7)*24</f>
        <v/>
      </c>
      <c r="H7" s="24">
        <f>(F7-E7)*24</f>
        <v/>
      </c>
      <c r="I7" s="23" t="inlineStr">
        <is>
          <t>4A</t>
        </is>
      </c>
      <c r="J7" s="23" t="inlineStr"/>
    </row>
    <row r="8">
      <c r="A8" s="6" t="inlineStr">
        <is>
          <t>20B</t>
        </is>
      </c>
      <c r="B8" s="6" t="inlineStr">
        <is>
          <t>KHARIS HERITAGE</t>
        </is>
      </c>
      <c r="C8" s="17" t="n">
        <v>482</v>
      </c>
      <c r="D8" s="20" t="n">
        <v>46296.45833333334</v>
      </c>
      <c r="E8" s="20" t="n">
        <v>46296.70833333334</v>
      </c>
      <c r="F8" s="20" t="n">
        <v>46297.70833333334</v>
      </c>
      <c r="G8" s="26">
        <f>(E8-D8)*24</f>
        <v/>
      </c>
      <c r="H8" s="26">
        <f>(F8-E8)*24</f>
        <v/>
      </c>
      <c r="I8" s="17" t="inlineStr">
        <is>
          <t>–</t>
        </is>
      </c>
      <c r="J8" s="17" t="inlineStr">
        <is>
          <t>Yes</t>
        </is>
      </c>
    </row>
    <row r="9">
      <c r="A9" s="6" t="inlineStr">
        <is>
          <t>20D</t>
        </is>
      </c>
      <c r="B9" s="6" t="inlineStr">
        <is>
          <t>ALS SUMIRE</t>
        </is>
      </c>
      <c r="C9" s="17" t="n">
        <v>537</v>
      </c>
      <c r="D9" s="20" t="n">
        <v>46296.70833333334</v>
      </c>
      <c r="E9" s="20" t="n">
        <v>46296.70833333334</v>
      </c>
      <c r="F9" s="20" t="n">
        <v>46297.70833333334</v>
      </c>
      <c r="G9" s="26">
        <f>(E9-D9)*24</f>
        <v/>
      </c>
      <c r="H9" s="26">
        <f>(F9-E9)*24</f>
        <v/>
      </c>
      <c r="I9" s="17" t="inlineStr">
        <is>
          <t>1C</t>
        </is>
      </c>
      <c r="J9" s="17" t="inlineStr">
        <is>
          <t>Yes</t>
        </is>
      </c>
    </row>
    <row r="10">
      <c r="A10" s="5" t="inlineStr">
        <is>
          <t>20E</t>
        </is>
      </c>
      <c r="B10" s="5" t="inlineStr">
        <is>
          <t>MITRA BHUM</t>
        </is>
      </c>
      <c r="C10" s="23" t="n">
        <v>485</v>
      </c>
      <c r="D10" s="11" t="n">
        <v>46295.125</v>
      </c>
      <c r="E10" s="11" t="n">
        <v>46295.20833333334</v>
      </c>
      <c r="F10" s="11" t="n">
        <v>46295.75</v>
      </c>
      <c r="G10" s="24">
        <f>(E10-D10)*24</f>
        <v/>
      </c>
      <c r="H10" s="24">
        <f>(F10-E10)*24</f>
        <v/>
      </c>
      <c r="I10" s="23" t="inlineStr">
        <is>
          <t>–</t>
        </is>
      </c>
      <c r="J10" s="23" t="inlineStr"/>
    </row>
    <row r="11">
      <c r="A11" s="5" t="inlineStr">
        <is>
          <t>20F</t>
        </is>
      </c>
      <c r="B11" s="5" t="inlineStr">
        <is>
          <t>HOPE C</t>
        </is>
      </c>
      <c r="C11" s="23" t="n">
        <v>481</v>
      </c>
      <c r="D11" s="11" t="n">
        <v>46294.70833333334</v>
      </c>
      <c r="E11" s="11" t="n">
        <v>46294.70833333334</v>
      </c>
      <c r="F11" s="11" t="n">
        <v>46295.66666666666</v>
      </c>
      <c r="G11" s="24">
        <f>(E11-D11)*24</f>
        <v/>
      </c>
      <c r="H11" s="24">
        <f>(F11-E11)*24</f>
        <v/>
      </c>
      <c r="I11" s="23" t="inlineStr">
        <is>
          <t>–</t>
        </is>
      </c>
      <c r="J11" s="23" t="inlineStr"/>
    </row>
    <row r="12">
      <c r="A12" s="5" t="inlineStr">
        <is>
          <t>20F</t>
        </is>
      </c>
      <c r="B12" s="5" t="inlineStr">
        <is>
          <t>WAN HAI 278</t>
        </is>
      </c>
      <c r="C12" s="23" t="n">
        <v>564</v>
      </c>
      <c r="D12" s="11" t="n">
        <v>46297.375</v>
      </c>
      <c r="E12" s="11" t="n">
        <v>46297.375</v>
      </c>
      <c r="F12" s="11" t="n">
        <v>46299.41666666666</v>
      </c>
      <c r="G12" s="24">
        <f>(E12-D12)*24</f>
        <v/>
      </c>
      <c r="H12" s="24">
        <f>(F12-E12)*24</f>
        <v/>
      </c>
      <c r="I12" s="23" t="inlineStr">
        <is>
          <t>–</t>
        </is>
      </c>
      <c r="J12" s="23" t="inlineStr"/>
    </row>
    <row r="15">
      <c r="A15" s="34" t="inlineStr">
        <is>
          <t>Berth &amp; gate notices on this sheet</t>
        </is>
      </c>
    </row>
    <row r="16">
      <c r="A16" s="3" t="inlineStr">
        <is>
          <t>Berth / Gate</t>
        </is>
      </c>
      <c r="B16" s="3" t="inlineStr">
        <is>
          <t>Type</t>
        </is>
      </c>
      <c r="C16" s="3" t="n"/>
      <c r="D16" s="3" t="inlineStr">
        <is>
          <t>From</t>
        </is>
      </c>
      <c r="E16" s="3" t="inlineStr">
        <is>
          <t>To</t>
        </is>
      </c>
      <c r="F16" s="3" t="inlineStr">
        <is>
          <t>Notice / change vs previous sheet</t>
        </is>
      </c>
      <c r="G16" s="35" t="n"/>
      <c r="H16" s="35" t="n"/>
      <c r="I16" s="35" t="n"/>
      <c r="J16" s="36" t="n"/>
    </row>
    <row r="17" ht="42" customHeight="1">
      <c r="A17" s="16" t="inlineStr">
        <is>
          <t>20AB / G.29</t>
        </is>
      </c>
      <c r="B17" s="16" t="inlineStr">
        <is>
          <t>Gate stopped</t>
        </is>
      </c>
      <c r="C17" s="38" t="n"/>
      <c r="D17" s="18" t="n">
        <v>46294</v>
      </c>
      <c r="E17" s="18" t="n">
        <v>46295</v>
      </c>
      <c r="F17" s="16" t="inlineStr">
        <is>
          <t>G.29 stops working 29–30 Sep 2026 to repair spreader  —  Unchanged</t>
        </is>
      </c>
      <c r="G17" s="38" t="n"/>
      <c r="H17" s="38" t="n"/>
      <c r="I17" s="38" t="n"/>
      <c r="J17" s="38" t="n"/>
    </row>
    <row r="18" ht="42" customHeight="1">
      <c r="A18" s="16" t="inlineStr">
        <is>
          <t>20C</t>
        </is>
      </c>
      <c r="B18" s="16" t="inlineStr">
        <is>
          <t>Berth closed</t>
        </is>
      </c>
      <c r="C18" s="38" t="n"/>
      <c r="D18" s="17" t="inlineStr">
        <is>
          <t>–</t>
        </is>
      </c>
      <c r="E18" s="18" t="n">
        <v>46298</v>
      </c>
      <c r="F18" s="16" t="inlineStr">
        <is>
          <t>Wharf will be utilised on 3 Oct 2026  —  Slipped: reopening 1 Oct → 3 Oct</t>
        </is>
      </c>
      <c r="G18" s="38" t="n"/>
      <c r="H18" s="38" t="n"/>
      <c r="I18" s="38" t="n"/>
      <c r="J18" s="38" t="n"/>
    </row>
    <row r="19" ht="42" customHeight="1">
      <c r="A19" s="16" t="inlineStr">
        <is>
          <t>20D</t>
        </is>
      </c>
      <c r="B19" s="16" t="inlineStr">
        <is>
          <t>Berth closed</t>
        </is>
      </c>
      <c r="C19" s="38" t="n"/>
      <c r="D19" s="18" t="n">
        <v>46298</v>
      </c>
      <c r="E19" s="18" t="n">
        <v>46319</v>
      </c>
      <c r="F19" s="16" t="inlineStr">
        <is>
          <t>Close on 3–24 Oct 2026 to renovate electric channel  —  Slipped: 1–21 Oct → 3–24 Oct</t>
        </is>
      </c>
      <c r="G19" s="38" t="n"/>
      <c r="H19" s="38" t="n"/>
      <c r="I19" s="38" t="n"/>
      <c r="J19" s="38" t="n"/>
    </row>
    <row r="20" ht="42" customHeight="1">
      <c r="A20" s="16" t="inlineStr">
        <is>
          <t>20E / G.25</t>
        </is>
      </c>
      <c r="B20" s="16" t="inlineStr">
        <is>
          <t>Gate stopped</t>
        </is>
      </c>
      <c r="C20" s="38" t="n"/>
      <c r="D20" s="18" t="n">
        <v>46298</v>
      </c>
      <c r="E20" s="18" t="n">
        <v>46313</v>
      </c>
      <c r="F20" s="16" t="inlineStr">
        <is>
          <t>G.25 stops working 3–18 Oct 2026 to change trolley rail  —  Slipped: 1–15 Oct → 3–18 Oct</t>
        </is>
      </c>
      <c r="G20" s="38" t="n"/>
      <c r="H20" s="38" t="n"/>
      <c r="I20" s="38" t="n"/>
      <c r="J20" s="38" t="n"/>
    </row>
  </sheetData>
  <mergeCells count="5">
    <mergeCell ref="F17:J17"/>
    <mergeCell ref="F20:J20"/>
    <mergeCell ref="F16:J16"/>
    <mergeCell ref="F19:J19"/>
    <mergeCell ref="F18:J18"/>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9"/>
  <sheetViews>
    <sheetView workbookViewId="0">
      <pane ySplit="3" topLeftCell="A4" activePane="bottomLeft" state="frozen"/>
      <selection pane="bottomLeft" activeCell="A1" sqref="A1"/>
    </sheetView>
  </sheetViews>
  <sheetFormatPr baseColWidth="8" defaultRowHeight="15"/>
  <cols>
    <col width="10" customWidth="1" min="1" max="1"/>
    <col width="20" customWidth="1" min="2" max="2"/>
    <col width="10" customWidth="1" min="3" max="3"/>
    <col width="16" customWidth="1" min="4" max="4"/>
    <col width="16" customWidth="1" min="5" max="5"/>
    <col width="16" customWidth="1" min="6" max="6"/>
    <col width="18" customWidth="1" min="7" max="7"/>
    <col width="16" customWidth="1" min="8" max="8"/>
    <col width="10" customWidth="1" min="9" max="9"/>
    <col width="10" customWidth="1" min="10" max="10"/>
  </cols>
  <sheetData>
    <row r="1">
      <c r="A1" s="1" t="inlineStr">
        <is>
          <t>PAT Berth Window — Vessel List by Berth — Sheet dated 01 Oct 2026</t>
        </is>
      </c>
    </row>
    <row r="3">
      <c r="A3" s="3" t="inlineStr">
        <is>
          <t>Berth</t>
        </is>
      </c>
      <c r="B3" s="3" t="inlineStr">
        <is>
          <t>Vessel</t>
        </is>
      </c>
      <c r="C3" s="3" t="inlineStr">
        <is>
          <t>LOA (m)</t>
        </is>
      </c>
      <c r="D3" s="3" t="inlineStr">
        <is>
          <t>ETA</t>
        </is>
      </c>
      <c r="E3" s="3" t="inlineStr">
        <is>
          <t>P.B</t>
        </is>
      </c>
      <c r="F3" s="3" t="inlineStr">
        <is>
          <t>ETD</t>
        </is>
      </c>
      <c r="G3" s="3" t="inlineStr">
        <is>
          <t>Waiting for Berth (h)</t>
        </is>
      </c>
      <c r="H3" s="3" t="inlineStr">
        <is>
          <t>Hours Alongside</t>
        </is>
      </c>
      <c r="I3" s="3" t="inlineStr">
        <is>
          <t>Shift</t>
        </is>
      </c>
      <c r="J3" s="3" t="inlineStr">
        <is>
          <t>Marked</t>
        </is>
      </c>
    </row>
    <row r="4">
      <c r="A4" s="5" t="inlineStr">
        <is>
          <t>20AB</t>
        </is>
      </c>
      <c r="B4" s="5" t="inlineStr">
        <is>
          <t>CAPE FAWLEY</t>
        </is>
      </c>
      <c r="C4" s="23" t="n">
        <v>558</v>
      </c>
      <c r="D4" s="11" t="n">
        <v>46295.875</v>
      </c>
      <c r="E4" s="11" t="n">
        <v>46296.25</v>
      </c>
      <c r="F4" s="11" t="n">
        <v>46297.25</v>
      </c>
      <c r="G4" s="24">
        <f>(E4-D4)*24</f>
        <v/>
      </c>
      <c r="H4" s="24">
        <f>(F4-E4)*24</f>
        <v/>
      </c>
      <c r="I4" s="23" t="inlineStr">
        <is>
          <t>–</t>
        </is>
      </c>
      <c r="J4" s="23" t="inlineStr"/>
    </row>
    <row r="5">
      <c r="A5" s="5" t="inlineStr">
        <is>
          <t>20AB</t>
        </is>
      </c>
      <c r="B5" s="5" t="inlineStr">
        <is>
          <t>KMTC BANGKOK</t>
        </is>
      </c>
      <c r="C5" s="23" t="n">
        <v>565</v>
      </c>
      <c r="D5" s="11" t="n">
        <v>46297.25</v>
      </c>
      <c r="E5" s="11" t="n">
        <v>46297.33333333334</v>
      </c>
      <c r="F5" s="11" t="n">
        <v>46298.70833333334</v>
      </c>
      <c r="G5" s="24">
        <f>(E5-D5)*24</f>
        <v/>
      </c>
      <c r="H5" s="24">
        <f>(F5-E5)*24</f>
        <v/>
      </c>
      <c r="I5" s="23" t="inlineStr">
        <is>
          <t>–</t>
        </is>
      </c>
      <c r="J5" s="23" t="inlineStr"/>
    </row>
    <row r="6">
      <c r="A6" s="6" t="inlineStr">
        <is>
          <t>20B</t>
        </is>
      </c>
      <c r="B6" s="6" t="inlineStr">
        <is>
          <t>KHARIS HERITAGE</t>
        </is>
      </c>
      <c r="C6" s="17" t="n">
        <v>482</v>
      </c>
      <c r="D6" s="20" t="n">
        <v>46296.5</v>
      </c>
      <c r="E6" s="20" t="n">
        <v>46296.70833333334</v>
      </c>
      <c r="F6" s="20" t="n">
        <v>46297.70833333334</v>
      </c>
      <c r="G6" s="26">
        <f>(E6-D6)*24</f>
        <v/>
      </c>
      <c r="H6" s="26">
        <f>(F6-E6)*24</f>
        <v/>
      </c>
      <c r="I6" s="17" t="inlineStr">
        <is>
          <t>–</t>
        </is>
      </c>
      <c r="J6" s="17" t="inlineStr">
        <is>
          <t>Yes</t>
        </is>
      </c>
    </row>
    <row r="7">
      <c r="A7" s="5" t="inlineStr">
        <is>
          <t>20B</t>
        </is>
      </c>
      <c r="B7" s="5" t="inlineStr">
        <is>
          <t>ZHONG GU BEI HAI</t>
        </is>
      </c>
      <c r="C7" s="23" t="n">
        <v>561</v>
      </c>
      <c r="D7" s="11" t="n">
        <v>46298.91666666666</v>
      </c>
      <c r="E7" s="11" t="n">
        <v>46299.375</v>
      </c>
      <c r="F7" s="11" t="n">
        <v>46300.66666666666</v>
      </c>
      <c r="G7" s="24">
        <f>(E7-D7)*24</f>
        <v/>
      </c>
      <c r="H7" s="24">
        <f>(F7-E7)*24</f>
        <v/>
      </c>
      <c r="I7" s="23" t="inlineStr">
        <is>
          <t>–</t>
        </is>
      </c>
      <c r="J7" s="23" t="inlineStr"/>
    </row>
    <row r="8">
      <c r="A8" s="5" t="inlineStr">
        <is>
          <t>20C</t>
        </is>
      </c>
      <c r="B8" s="5" t="inlineStr">
        <is>
          <t>YM IMPROVEMENT</t>
        </is>
      </c>
      <c r="C8" s="23" t="n">
        <v>564</v>
      </c>
      <c r="D8" s="11" t="n">
        <v>46298.83333333334</v>
      </c>
      <c r="E8" s="11" t="n">
        <v>46298.83333333334</v>
      </c>
      <c r="F8" s="11" t="n">
        <v>46300.41666666666</v>
      </c>
      <c r="G8" s="24">
        <f>(E8-D8)*24</f>
        <v/>
      </c>
      <c r="H8" s="24">
        <f>(F8-E8)*24</f>
        <v/>
      </c>
      <c r="I8" s="23" t="inlineStr">
        <is>
          <t>–</t>
        </is>
      </c>
      <c r="J8" s="23" t="inlineStr"/>
    </row>
    <row r="9">
      <c r="A9" s="6" t="inlineStr">
        <is>
          <t>20D</t>
        </is>
      </c>
      <c r="B9" s="6" t="inlineStr">
        <is>
          <t>ALS SUMIRE</t>
        </is>
      </c>
      <c r="C9" s="17" t="n">
        <v>537</v>
      </c>
      <c r="D9" s="20" t="n">
        <v>46296.70833333334</v>
      </c>
      <c r="E9" s="20" t="n">
        <v>46296.70833333334</v>
      </c>
      <c r="F9" s="20" t="n">
        <v>46297.70833333334</v>
      </c>
      <c r="G9" s="26">
        <f>(E9-D9)*24</f>
        <v/>
      </c>
      <c r="H9" s="26">
        <f>(F9-E9)*24</f>
        <v/>
      </c>
      <c r="I9" s="17" t="inlineStr">
        <is>
          <t>1C</t>
        </is>
      </c>
      <c r="J9" s="17" t="inlineStr">
        <is>
          <t>Yes</t>
        </is>
      </c>
    </row>
    <row r="10">
      <c r="A10" s="5" t="inlineStr">
        <is>
          <t>20E</t>
        </is>
      </c>
      <c r="B10" s="5" t="inlineStr">
        <is>
          <t>RESURGENCE</t>
        </is>
      </c>
      <c r="C10" s="23" t="n">
        <v>458</v>
      </c>
      <c r="D10" s="11" t="n">
        <v>46298.75</v>
      </c>
      <c r="E10" s="11" t="n">
        <v>46298.75</v>
      </c>
      <c r="F10" s="11" t="n">
        <v>46299.83333333334</v>
      </c>
      <c r="G10" s="24">
        <f>(E10-D10)*24</f>
        <v/>
      </c>
      <c r="H10" s="24">
        <f>(F10-E10)*24</f>
        <v/>
      </c>
      <c r="I10" s="23" t="inlineStr">
        <is>
          <t>–</t>
        </is>
      </c>
      <c r="J10" s="23" t="inlineStr"/>
    </row>
    <row r="11">
      <c r="A11" s="5" t="inlineStr">
        <is>
          <t>20F</t>
        </is>
      </c>
      <c r="B11" s="5" t="inlineStr">
        <is>
          <t>WAN HAI 278</t>
        </is>
      </c>
      <c r="C11" s="23" t="n">
        <v>564</v>
      </c>
      <c r="D11" s="11" t="n">
        <v>46297.375</v>
      </c>
      <c r="E11" s="11" t="n">
        <v>46297.375</v>
      </c>
      <c r="F11" s="11" t="n">
        <v>46299.41666666666</v>
      </c>
      <c r="G11" s="24">
        <f>(E11-D11)*24</f>
        <v/>
      </c>
      <c r="H11" s="24">
        <f>(F11-E11)*24</f>
        <v/>
      </c>
      <c r="I11" s="23" t="inlineStr">
        <is>
          <t>–</t>
        </is>
      </c>
      <c r="J11" s="23" t="inlineStr"/>
    </row>
    <row r="14">
      <c r="A14" s="34" t="inlineStr">
        <is>
          <t>Berth &amp; gate notices on this sheet</t>
        </is>
      </c>
    </row>
    <row r="15">
      <c r="A15" s="3" t="inlineStr">
        <is>
          <t>Berth / Gate</t>
        </is>
      </c>
      <c r="B15" s="3" t="inlineStr">
        <is>
          <t>Type</t>
        </is>
      </c>
      <c r="C15" s="3" t="n"/>
      <c r="D15" s="3" t="inlineStr">
        <is>
          <t>From</t>
        </is>
      </c>
      <c r="E15" s="3" t="inlineStr">
        <is>
          <t>To</t>
        </is>
      </c>
      <c r="F15" s="3" t="inlineStr">
        <is>
          <t>Notice / change vs previous sheet</t>
        </is>
      </c>
      <c r="G15" s="35" t="n"/>
      <c r="H15" s="35" t="n"/>
      <c r="I15" s="35" t="n"/>
      <c r="J15" s="36" t="n"/>
    </row>
    <row r="16" ht="42" customHeight="1">
      <c r="A16" s="16" t="inlineStr">
        <is>
          <t>20AB / G.29</t>
        </is>
      </c>
      <c r="B16" s="16" t="inlineStr">
        <is>
          <t>Gate stopped</t>
        </is>
      </c>
      <c r="C16" s="38" t="n"/>
      <c r="D16" s="17" t="inlineStr">
        <is>
          <t>–</t>
        </is>
      </c>
      <c r="E16" s="17" t="inlineStr">
        <is>
          <t>–</t>
        </is>
      </c>
      <c r="F16" s="16" t="inlineStr">
        <is>
          <t>(no longer listed – 29–30 Sep period has ended)  —  Dropped from sheet</t>
        </is>
      </c>
      <c r="G16" s="38" t="n"/>
      <c r="H16" s="38" t="n"/>
      <c r="I16" s="38" t="n"/>
      <c r="J16" s="38" t="n"/>
    </row>
    <row r="17" ht="42" customHeight="1">
      <c r="A17" s="16" t="inlineStr">
        <is>
          <t>20C</t>
        </is>
      </c>
      <c r="B17" s="16" t="inlineStr">
        <is>
          <t>Berth closed</t>
        </is>
      </c>
      <c r="C17" s="38" t="n"/>
      <c r="D17" s="17" t="inlineStr">
        <is>
          <t>–</t>
        </is>
      </c>
      <c r="E17" s="18" t="n">
        <v>46298</v>
      </c>
      <c r="F17" s="16" t="inlineStr">
        <is>
          <t>Wharf will be utilised on 3 Oct (sheet prints 2027, treated as a typo)  —  Unchanged</t>
        </is>
      </c>
      <c r="G17" s="38" t="n"/>
      <c r="H17" s="38" t="n"/>
      <c r="I17" s="38" t="n"/>
      <c r="J17" s="38" t="n"/>
    </row>
    <row r="18" ht="42" customHeight="1">
      <c r="A18" s="16" t="inlineStr">
        <is>
          <t>20D</t>
        </is>
      </c>
      <c r="B18" s="16" t="inlineStr">
        <is>
          <t>Berth closed</t>
        </is>
      </c>
      <c r="C18" s="38" t="n"/>
      <c r="D18" s="18" t="n">
        <v>46298</v>
      </c>
      <c r="E18" s="18" t="n">
        <v>46319</v>
      </c>
      <c r="F18" s="16" t="inlineStr">
        <is>
          <t>Close on 3–24 Oct 2026 to renovate electric channel  —  Unchanged</t>
        </is>
      </c>
      <c r="G18" s="38" t="n"/>
      <c r="H18" s="38" t="n"/>
      <c r="I18" s="38" t="n"/>
      <c r="J18" s="38" t="n"/>
    </row>
    <row r="19" ht="42" customHeight="1">
      <c r="A19" s="16" t="inlineStr">
        <is>
          <t>20E / G.25</t>
        </is>
      </c>
      <c r="B19" s="16" t="inlineStr">
        <is>
          <t>Gate stopped</t>
        </is>
      </c>
      <c r="C19" s="38" t="n"/>
      <c r="D19" s="18" t="n">
        <v>46298</v>
      </c>
      <c r="E19" s="18" t="n">
        <v>46313</v>
      </c>
      <c r="F19" s="16" t="inlineStr">
        <is>
          <t>G.25 stops working 3–18 Oct 2026 to change trolley rail  —  Unchanged</t>
        </is>
      </c>
      <c r="G19" s="38" t="n"/>
      <c r="H19" s="38" t="n"/>
      <c r="I19" s="38" t="n"/>
      <c r="J19" s="38" t="n"/>
    </row>
  </sheetData>
  <mergeCells count="5">
    <mergeCell ref="F17:J17"/>
    <mergeCell ref="F15:J15"/>
    <mergeCell ref="F16:J16"/>
    <mergeCell ref="F19:J19"/>
    <mergeCell ref="F18:J18"/>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22"/>
  <sheetViews>
    <sheetView workbookViewId="0">
      <pane ySplit="3" topLeftCell="A4" activePane="bottomLeft" state="frozen"/>
      <selection pane="bottomLeft" activeCell="A1" sqref="A1"/>
    </sheetView>
  </sheetViews>
  <sheetFormatPr baseColWidth="8" defaultRowHeight="15"/>
  <cols>
    <col width="10" customWidth="1" min="1" max="1"/>
    <col width="20" customWidth="1" min="2" max="2"/>
    <col width="10" customWidth="1" min="3" max="3"/>
    <col width="16" customWidth="1" min="4" max="4"/>
    <col width="16" customWidth="1" min="5" max="5"/>
    <col width="16" customWidth="1" min="6" max="6"/>
    <col width="18" customWidth="1" min="7" max="7"/>
    <col width="16" customWidth="1" min="8" max="8"/>
    <col width="10" customWidth="1" min="9" max="9"/>
    <col width="10" customWidth="1" min="10" max="10"/>
  </cols>
  <sheetData>
    <row r="1">
      <c r="A1" s="1" t="inlineStr">
        <is>
          <t>PAT Berth Window — Vessel List by Berth — Sheet dated 02 Oct 2026</t>
        </is>
      </c>
    </row>
    <row r="3">
      <c r="A3" s="3" t="inlineStr">
        <is>
          <t>Berth</t>
        </is>
      </c>
      <c r="B3" s="3" t="inlineStr">
        <is>
          <t>Vessel</t>
        </is>
      </c>
      <c r="C3" s="3" t="inlineStr">
        <is>
          <t>LOA (m)</t>
        </is>
      </c>
      <c r="D3" s="3" t="inlineStr">
        <is>
          <t>ETA</t>
        </is>
      </c>
      <c r="E3" s="3" t="inlineStr">
        <is>
          <t>P.B</t>
        </is>
      </c>
      <c r="F3" s="3" t="inlineStr">
        <is>
          <t>ETD</t>
        </is>
      </c>
      <c r="G3" s="3" t="inlineStr">
        <is>
          <t>Waiting for Berth (h)</t>
        </is>
      </c>
      <c r="H3" s="3" t="inlineStr">
        <is>
          <t>Hours Alongside</t>
        </is>
      </c>
      <c r="I3" s="3" t="inlineStr">
        <is>
          <t>Shift</t>
        </is>
      </c>
      <c r="J3" s="3" t="inlineStr">
        <is>
          <t>Marked</t>
        </is>
      </c>
    </row>
    <row r="4">
      <c r="A4" s="5" t="inlineStr">
        <is>
          <t>20AB</t>
        </is>
      </c>
      <c r="B4" s="5" t="inlineStr">
        <is>
          <t>CAPE FAWLEY</t>
        </is>
      </c>
      <c r="C4" s="23" t="n">
        <v>558</v>
      </c>
      <c r="D4" s="11" t="n">
        <v>46295.875</v>
      </c>
      <c r="E4" s="11" t="n">
        <v>46296.25</v>
      </c>
      <c r="F4" s="11" t="n">
        <v>46297.625</v>
      </c>
      <c r="G4" s="24">
        <f>(E4-D4)*24</f>
        <v/>
      </c>
      <c r="H4" s="24">
        <f>(F4-E4)*24</f>
        <v/>
      </c>
      <c r="I4" s="23" t="inlineStr">
        <is>
          <t>–</t>
        </is>
      </c>
      <c r="J4" s="23" t="inlineStr"/>
    </row>
    <row r="5">
      <c r="A5" s="5" t="inlineStr">
        <is>
          <t>20AB</t>
        </is>
      </c>
      <c r="B5" s="5" t="inlineStr">
        <is>
          <t>RESURGENCE</t>
        </is>
      </c>
      <c r="C5" s="23" t="n">
        <v>458</v>
      </c>
      <c r="D5" s="11" t="n">
        <v>46298.54166666666</v>
      </c>
      <c r="E5" s="11" t="n">
        <v>46298.54166666666</v>
      </c>
      <c r="F5" s="11" t="n">
        <v>46299.5</v>
      </c>
      <c r="G5" s="24">
        <f>(E5-D5)*24</f>
        <v/>
      </c>
      <c r="H5" s="24">
        <f>(F5-E5)*24</f>
        <v/>
      </c>
      <c r="I5" s="23" t="inlineStr">
        <is>
          <t>–</t>
        </is>
      </c>
      <c r="J5" s="23" t="inlineStr"/>
    </row>
    <row r="6">
      <c r="A6" s="5" t="inlineStr">
        <is>
          <t>20AB</t>
        </is>
      </c>
      <c r="B6" s="5" t="inlineStr">
        <is>
          <t>ZHONG GU BEI HAI</t>
        </is>
      </c>
      <c r="C6" s="23" t="n">
        <v>561</v>
      </c>
      <c r="D6" s="11" t="n">
        <v>46299.375</v>
      </c>
      <c r="E6" s="11" t="n">
        <v>46299.45833333334</v>
      </c>
      <c r="F6" s="11" t="n">
        <v>46301.45833333334</v>
      </c>
      <c r="G6" s="24">
        <f>(E6-D6)*24</f>
        <v/>
      </c>
      <c r="H6" s="24">
        <f>(F6-E6)*24</f>
        <v/>
      </c>
      <c r="I6" s="23" t="inlineStr">
        <is>
          <t>–</t>
        </is>
      </c>
      <c r="J6" s="23" t="inlineStr"/>
    </row>
    <row r="7">
      <c r="A7" s="6" t="inlineStr">
        <is>
          <t>20B</t>
        </is>
      </c>
      <c r="B7" s="6" t="inlineStr">
        <is>
          <t>KHARIS HERITAGE</t>
        </is>
      </c>
      <c r="C7" s="17" t="n">
        <v>482</v>
      </c>
      <c r="D7" s="20" t="n">
        <v>46296.45833333334</v>
      </c>
      <c r="E7" s="20" t="n">
        <v>46296.75</v>
      </c>
      <c r="F7" s="20" t="n">
        <v>46297.70833333334</v>
      </c>
      <c r="G7" s="26">
        <f>(E7-D7)*24</f>
        <v/>
      </c>
      <c r="H7" s="26">
        <f>(F7-E7)*24</f>
        <v/>
      </c>
      <c r="I7" s="17" t="inlineStr">
        <is>
          <t>–</t>
        </is>
      </c>
      <c r="J7" s="17" t="inlineStr">
        <is>
          <t>Yes</t>
        </is>
      </c>
    </row>
    <row r="8">
      <c r="A8" s="5" t="inlineStr">
        <is>
          <t>20B</t>
        </is>
      </c>
      <c r="B8" s="5" t="inlineStr">
        <is>
          <t>YM IMPROVEMENT</t>
        </is>
      </c>
      <c r="C8" s="23" t="n">
        <v>564</v>
      </c>
      <c r="D8" s="11" t="n">
        <v>46298.83333333334</v>
      </c>
      <c r="E8" s="11" t="n">
        <v>46298.83333333334</v>
      </c>
      <c r="F8" s="11" t="n">
        <v>46300.41666666666</v>
      </c>
      <c r="G8" s="24">
        <f>(E8-D8)*24</f>
        <v/>
      </c>
      <c r="H8" s="24">
        <f>(F8-E8)*24</f>
        <v/>
      </c>
      <c r="I8" s="23" t="inlineStr">
        <is>
          <t>–</t>
        </is>
      </c>
      <c r="J8" s="23" t="inlineStr"/>
    </row>
    <row r="9">
      <c r="A9" s="5" t="inlineStr">
        <is>
          <t>20B</t>
        </is>
      </c>
      <c r="B9" s="5" t="inlineStr">
        <is>
          <t>JOSCO LUCKY</t>
        </is>
      </c>
      <c r="C9" s="23" t="n">
        <v>564</v>
      </c>
      <c r="D9" s="11" t="n">
        <v>46300.91666666666</v>
      </c>
      <c r="E9" s="11" t="n">
        <v>46301.5</v>
      </c>
      <c r="F9" s="11" t="n">
        <v>46302.54166666666</v>
      </c>
      <c r="G9" s="24">
        <f>(E9-D9)*24</f>
        <v/>
      </c>
      <c r="H9" s="24">
        <f>(F9-E9)*24</f>
        <v/>
      </c>
      <c r="I9" s="23" t="inlineStr">
        <is>
          <t>–</t>
        </is>
      </c>
      <c r="J9" s="23" t="inlineStr"/>
    </row>
    <row r="10">
      <c r="A10" s="5" t="inlineStr">
        <is>
          <t>20C</t>
        </is>
      </c>
      <c r="B10" s="5" t="inlineStr">
        <is>
          <t>SAWASDEE DENEB</t>
        </is>
      </c>
      <c r="C10" s="23" t="n">
        <v>564</v>
      </c>
      <c r="D10" s="11" t="n">
        <v>46300</v>
      </c>
      <c r="E10" s="11" t="n">
        <v>46300.5</v>
      </c>
      <c r="F10" s="11" t="n">
        <v>46302.5</v>
      </c>
      <c r="G10" s="24">
        <f>(E10-D10)*24</f>
        <v/>
      </c>
      <c r="H10" s="24">
        <f>(F10-E10)*24</f>
        <v/>
      </c>
      <c r="I10" s="23" t="inlineStr">
        <is>
          <t>–</t>
        </is>
      </c>
      <c r="J10" s="23" t="inlineStr"/>
    </row>
    <row r="11">
      <c r="A11" s="6" t="inlineStr">
        <is>
          <t>20D</t>
        </is>
      </c>
      <c r="B11" s="6" t="inlineStr">
        <is>
          <t>ALS SUMIRE</t>
        </is>
      </c>
      <c r="C11" s="17" t="n">
        <v>537</v>
      </c>
      <c r="D11" s="20" t="n">
        <v>46296.25</v>
      </c>
      <c r="E11" s="20" t="n">
        <v>46296.66666666666</v>
      </c>
      <c r="F11" s="20" t="n">
        <v>46297.70833333334</v>
      </c>
      <c r="G11" s="26">
        <f>(E11-D11)*24</f>
        <v/>
      </c>
      <c r="H11" s="26">
        <f>(F11-E11)*24</f>
        <v/>
      </c>
      <c r="I11" s="17" t="inlineStr">
        <is>
          <t>1C</t>
        </is>
      </c>
      <c r="J11" s="17" t="inlineStr">
        <is>
          <t>Yes</t>
        </is>
      </c>
    </row>
    <row r="12">
      <c r="A12" s="5" t="inlineStr">
        <is>
          <t>20D</t>
        </is>
      </c>
      <c r="B12" s="5" t="inlineStr">
        <is>
          <t>HARI BHUM (Barge)</t>
        </is>
      </c>
      <c r="C12" s="23" t="n">
        <v>259</v>
      </c>
      <c r="D12" s="11" t="n">
        <v>46298.20833333334</v>
      </c>
      <c r="E12" s="11" t="n">
        <v>46298.20833333334</v>
      </c>
      <c r="F12" s="11" t="n">
        <v>46298.66666666666</v>
      </c>
      <c r="G12" s="24">
        <f>(E12-D12)*24</f>
        <v/>
      </c>
      <c r="H12" s="24">
        <f>(F12-E12)*24</f>
        <v/>
      </c>
      <c r="I12" s="23" t="inlineStr">
        <is>
          <t>–</t>
        </is>
      </c>
      <c r="J12" s="23" t="inlineStr"/>
    </row>
    <row r="13">
      <c r="A13" s="5" t="inlineStr">
        <is>
          <t>20E</t>
        </is>
      </c>
      <c r="B13" s="5" t="inlineStr">
        <is>
          <t>WAN HAI 278</t>
        </is>
      </c>
      <c r="C13" s="23" t="n">
        <v>564</v>
      </c>
      <c r="D13" s="11" t="n">
        <v>46297.75</v>
      </c>
      <c r="E13" s="11" t="n">
        <v>46298.41666666666</v>
      </c>
      <c r="F13" s="11" t="n">
        <v>46300.45833333334</v>
      </c>
      <c r="G13" s="24">
        <f>(E13-D13)*24</f>
        <v/>
      </c>
      <c r="H13" s="24">
        <f>(F13-E13)*24</f>
        <v/>
      </c>
      <c r="I13" s="23" t="inlineStr">
        <is>
          <t>–</t>
        </is>
      </c>
      <c r="J13" s="23" t="inlineStr"/>
    </row>
    <row r="14">
      <c r="A14" s="5" t="inlineStr">
        <is>
          <t>20F</t>
        </is>
      </c>
      <c r="B14" s="5" t="inlineStr">
        <is>
          <t>KMTC BANGKOK</t>
        </is>
      </c>
      <c r="C14" s="23" t="n">
        <v>565</v>
      </c>
      <c r="D14" s="11" t="n">
        <v>46297.29166666666</v>
      </c>
      <c r="E14" s="11" t="n">
        <v>46297.33333333334</v>
      </c>
      <c r="F14" s="11" t="n">
        <v>46298.70833333334</v>
      </c>
      <c r="G14" s="24">
        <f>(E14-D14)*24</f>
        <v/>
      </c>
      <c r="H14" s="24">
        <f>(F14-E14)*24</f>
        <v/>
      </c>
      <c r="I14" s="23" t="inlineStr">
        <is>
          <t>–</t>
        </is>
      </c>
      <c r="J14" s="23" t="inlineStr"/>
    </row>
    <row r="15">
      <c r="A15" s="5" t="inlineStr">
        <is>
          <t>20F</t>
        </is>
      </c>
      <c r="B15" s="5" t="inlineStr">
        <is>
          <t>XIN MING ZHOU 98</t>
        </is>
      </c>
      <c r="C15" s="23" t="n">
        <v>564</v>
      </c>
      <c r="D15" s="11" t="n">
        <v>46299.375</v>
      </c>
      <c r="E15" s="11" t="n">
        <v>46299.375</v>
      </c>
      <c r="F15" s="11" t="n">
        <v>46300.375</v>
      </c>
      <c r="G15" s="24">
        <f>(E15-D15)*24</f>
        <v/>
      </c>
      <c r="H15" s="24">
        <f>(F15-E15)*24</f>
        <v/>
      </c>
      <c r="I15" s="23" t="inlineStr">
        <is>
          <t>–</t>
        </is>
      </c>
      <c r="J15" s="23" t="inlineStr"/>
    </row>
    <row r="18">
      <c r="A18" s="34" t="inlineStr">
        <is>
          <t>Berth &amp; gate notices on this sheet</t>
        </is>
      </c>
    </row>
    <row r="19">
      <c r="A19" s="3" t="inlineStr">
        <is>
          <t>Berth / Gate</t>
        </is>
      </c>
      <c r="B19" s="3" t="inlineStr">
        <is>
          <t>Type</t>
        </is>
      </c>
      <c r="C19" s="3" t="n"/>
      <c r="D19" s="3" t="inlineStr">
        <is>
          <t>From</t>
        </is>
      </c>
      <c r="E19" s="3" t="inlineStr">
        <is>
          <t>To</t>
        </is>
      </c>
      <c r="F19" s="3" t="inlineStr">
        <is>
          <t>Notice / change vs previous sheet</t>
        </is>
      </c>
      <c r="G19" s="35" t="n"/>
      <c r="H19" s="35" t="n"/>
      <c r="I19" s="35" t="n"/>
      <c r="J19" s="36" t="n"/>
    </row>
    <row r="20" ht="42" customHeight="1">
      <c r="A20" s="16" t="inlineStr">
        <is>
          <t>20C</t>
        </is>
      </c>
      <c r="B20" s="16" t="inlineStr">
        <is>
          <t>Berth closed</t>
        </is>
      </c>
      <c r="C20" s="38" t="n"/>
      <c r="D20" s="17" t="inlineStr">
        <is>
          <t>–</t>
        </is>
      </c>
      <c r="E20" s="18" t="n">
        <v>46300</v>
      </c>
      <c r="F20" s="16" t="inlineStr">
        <is>
          <t>Wharf will be utilised on 5 Oct 2026  —  Slipped: reopening 3 Oct → 5 Oct</t>
        </is>
      </c>
      <c r="G20" s="38" t="n"/>
      <c r="H20" s="38" t="n"/>
      <c r="I20" s="38" t="n"/>
      <c r="J20" s="38" t="n"/>
    </row>
    <row r="21" ht="42" customHeight="1">
      <c r="A21" s="16" t="inlineStr">
        <is>
          <t>20D</t>
        </is>
      </c>
      <c r="B21" s="16" t="inlineStr">
        <is>
          <t>Berth closed</t>
        </is>
      </c>
      <c r="C21" s="38" t="n"/>
      <c r="D21" s="18" t="n">
        <v>46299</v>
      </c>
      <c r="E21" s="18" t="n">
        <v>46319</v>
      </c>
      <c r="F21" s="16" t="inlineStr">
        <is>
          <t>Close on 4–24 Oct 2026 to renovate electric channel  —  Slipped: start 3 Oct → 4 Oct</t>
        </is>
      </c>
      <c r="G21" s="38" t="n"/>
      <c r="H21" s="38" t="n"/>
      <c r="I21" s="38" t="n"/>
      <c r="J21" s="38" t="n"/>
    </row>
    <row r="22" ht="42" customHeight="1">
      <c r="A22" s="16" t="inlineStr">
        <is>
          <t>20E / G.25</t>
        </is>
      </c>
      <c r="B22" s="16" t="inlineStr">
        <is>
          <t>Gate stopped</t>
        </is>
      </c>
      <c r="C22" s="38" t="n"/>
      <c r="D22" s="18" t="n">
        <v>46300</v>
      </c>
      <c r="E22" s="18" t="n">
        <v>46313</v>
      </c>
      <c r="F22" s="16" t="inlineStr">
        <is>
          <t>G.25 stops working 5–18 Oct 2026 to change trolley rail  —  Slipped: start 3 Oct → 5 Oct</t>
        </is>
      </c>
      <c r="G22" s="38" t="n"/>
      <c r="H22" s="38" t="n"/>
      <c r="I22" s="38" t="n"/>
      <c r="J22" s="38" t="n"/>
    </row>
  </sheetData>
  <mergeCells count="4">
    <mergeCell ref="F22:J22"/>
    <mergeCell ref="F19:J19"/>
    <mergeCell ref="F20:J20"/>
    <mergeCell ref="F21:J2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21"/>
  <sheetViews>
    <sheetView workbookViewId="0">
      <pane ySplit="3" topLeftCell="A4" activePane="bottomLeft" state="frozen"/>
      <selection pane="bottomLeft" activeCell="A1" sqref="A1"/>
    </sheetView>
  </sheetViews>
  <sheetFormatPr baseColWidth="8" defaultRowHeight="15"/>
  <cols>
    <col width="10" customWidth="1" min="1" max="1"/>
    <col width="20" customWidth="1" min="2" max="2"/>
    <col width="10" customWidth="1" min="3" max="3"/>
    <col width="16" customWidth="1" min="4" max="4"/>
    <col width="16" customWidth="1" min="5" max="5"/>
    <col width="16" customWidth="1" min="6" max="6"/>
    <col width="18" customWidth="1" min="7" max="7"/>
    <col width="16" customWidth="1" min="8" max="8"/>
    <col width="10" customWidth="1" min="9" max="9"/>
    <col width="10" customWidth="1" min="10" max="10"/>
  </cols>
  <sheetData>
    <row r="1">
      <c r="A1" s="1" t="inlineStr">
        <is>
          <t>PAT Berth Window — Vessel List by Berth — Sheet dated 03 Oct 2026</t>
        </is>
      </c>
    </row>
    <row r="3">
      <c r="A3" s="3" t="inlineStr">
        <is>
          <t>Berth</t>
        </is>
      </c>
      <c r="B3" s="3" t="inlineStr">
        <is>
          <t>Vessel</t>
        </is>
      </c>
      <c r="C3" s="3" t="inlineStr">
        <is>
          <t>LOA (m)</t>
        </is>
      </c>
      <c r="D3" s="3" t="inlineStr">
        <is>
          <t>ETA</t>
        </is>
      </c>
      <c r="E3" s="3" t="inlineStr">
        <is>
          <t>P.B</t>
        </is>
      </c>
      <c r="F3" s="3" t="inlineStr">
        <is>
          <t>ETD</t>
        </is>
      </c>
      <c r="G3" s="3" t="inlineStr">
        <is>
          <t>Waiting for Berth (h)</t>
        </is>
      </c>
      <c r="H3" s="3" t="inlineStr">
        <is>
          <t>Hours Alongside</t>
        </is>
      </c>
      <c r="I3" s="3" t="inlineStr">
        <is>
          <t>Shift</t>
        </is>
      </c>
      <c r="J3" s="3" t="inlineStr">
        <is>
          <t>Marked</t>
        </is>
      </c>
    </row>
    <row r="4">
      <c r="A4" s="5" t="inlineStr">
        <is>
          <t>20AB</t>
        </is>
      </c>
      <c r="B4" s="5" t="inlineStr">
        <is>
          <t>RESURGENCE</t>
        </is>
      </c>
      <c r="C4" s="23" t="n">
        <v>458</v>
      </c>
      <c r="D4" s="11" t="n">
        <v>46298.5</v>
      </c>
      <c r="E4" s="11" t="n">
        <v>46298.5</v>
      </c>
      <c r="F4" s="11" t="n">
        <v>46299.70833333334</v>
      </c>
      <c r="G4" s="24">
        <f>(E4-D4)*24</f>
        <v/>
      </c>
      <c r="H4" s="24">
        <f>(F4-E4)*24</f>
        <v/>
      </c>
      <c r="I4" s="23" t="inlineStr">
        <is>
          <t>–</t>
        </is>
      </c>
      <c r="J4" s="23" t="inlineStr"/>
    </row>
    <row r="5">
      <c r="A5" s="6" t="inlineStr">
        <is>
          <t>20AB</t>
        </is>
      </c>
      <c r="B5" s="6" t="inlineStr">
        <is>
          <t>ZHONG GU BEI HAI</t>
        </is>
      </c>
      <c r="C5" s="17" t="n">
        <v>561</v>
      </c>
      <c r="D5" s="20" t="n">
        <v>46299.375</v>
      </c>
      <c r="E5" s="20" t="n">
        <v>46299.625</v>
      </c>
      <c r="F5" s="20" t="n">
        <v>46301.41666666666</v>
      </c>
      <c r="G5" s="26">
        <f>(E5-D5)*24</f>
        <v/>
      </c>
      <c r="H5" s="26">
        <f>(F5-E5)*24</f>
        <v/>
      </c>
      <c r="I5" s="17" t="inlineStr">
        <is>
          <t>–</t>
        </is>
      </c>
      <c r="J5" s="17" t="inlineStr">
        <is>
          <t>Yes</t>
        </is>
      </c>
    </row>
    <row r="6">
      <c r="A6" s="5" t="inlineStr">
        <is>
          <t>20B</t>
        </is>
      </c>
      <c r="B6" s="5" t="inlineStr">
        <is>
          <t>YM IMPROVEMENT</t>
        </is>
      </c>
      <c r="C6" s="23" t="n">
        <v>564</v>
      </c>
      <c r="D6" s="11" t="n">
        <v>46298.95833333334</v>
      </c>
      <c r="E6" s="11" t="n">
        <v>46299.41666666666</v>
      </c>
      <c r="F6" s="11" t="n">
        <v>46300.5</v>
      </c>
      <c r="G6" s="24">
        <f>(E6-D6)*24</f>
        <v/>
      </c>
      <c r="H6" s="24">
        <f>(F6-E6)*24</f>
        <v/>
      </c>
      <c r="I6" s="23" t="inlineStr">
        <is>
          <t>–</t>
        </is>
      </c>
      <c r="J6" s="23" t="inlineStr"/>
    </row>
    <row r="7">
      <c r="A7" s="5" t="inlineStr">
        <is>
          <t>20B</t>
        </is>
      </c>
      <c r="B7" s="5" t="inlineStr">
        <is>
          <t>JOSCO LUCKY</t>
        </is>
      </c>
      <c r="C7" s="23" t="n">
        <v>564</v>
      </c>
      <c r="D7" s="11" t="n">
        <v>46300.91666666666</v>
      </c>
      <c r="E7" s="11" t="n">
        <v>46301.5</v>
      </c>
      <c r="F7" s="11" t="n">
        <v>46302.54166666666</v>
      </c>
      <c r="G7" s="24">
        <f>(E7-D7)*24</f>
        <v/>
      </c>
      <c r="H7" s="24">
        <f>(F7-E7)*24</f>
        <v/>
      </c>
      <c r="I7" s="23" t="inlineStr">
        <is>
          <t>–</t>
        </is>
      </c>
      <c r="J7" s="23" t="inlineStr"/>
    </row>
    <row r="8">
      <c r="A8" s="5" t="inlineStr">
        <is>
          <t>20C</t>
        </is>
      </c>
      <c r="B8" s="5" t="inlineStr">
        <is>
          <t>SAWASDEE DENEB</t>
        </is>
      </c>
      <c r="C8" s="23" t="n">
        <v>564</v>
      </c>
      <c r="D8" s="11" t="n">
        <v>46300</v>
      </c>
      <c r="E8" s="11" t="n">
        <v>46300.5</v>
      </c>
      <c r="F8" s="11" t="n">
        <v>46302.5</v>
      </c>
      <c r="G8" s="24">
        <f>(E8-D8)*24</f>
        <v/>
      </c>
      <c r="H8" s="24">
        <f>(F8-E8)*24</f>
        <v/>
      </c>
      <c r="I8" s="23" t="inlineStr">
        <is>
          <t>–</t>
        </is>
      </c>
      <c r="J8" s="23" t="inlineStr"/>
    </row>
    <row r="9">
      <c r="A9" s="5" t="inlineStr">
        <is>
          <t>20D</t>
        </is>
      </c>
      <c r="B9" s="5" t="inlineStr">
        <is>
          <t>HARI BHUM (Barge)</t>
        </is>
      </c>
      <c r="C9" s="23" t="n">
        <v>259</v>
      </c>
      <c r="D9" s="11" t="n">
        <v>46298.20833333334</v>
      </c>
      <c r="E9" s="11" t="n">
        <v>46298.29166666666</v>
      </c>
      <c r="F9" s="11" t="n">
        <v>46298.66666666666</v>
      </c>
      <c r="G9" s="24">
        <f>(E9-D9)*24</f>
        <v/>
      </c>
      <c r="H9" s="24">
        <f>(F9-E9)*24</f>
        <v/>
      </c>
      <c r="I9" s="23" t="inlineStr">
        <is>
          <t>–</t>
        </is>
      </c>
      <c r="J9" s="23" t="inlineStr"/>
    </row>
    <row r="10">
      <c r="A10" s="5" t="inlineStr">
        <is>
          <t>20E</t>
        </is>
      </c>
      <c r="B10" s="5" t="inlineStr">
        <is>
          <t>WAN HAI 278</t>
        </is>
      </c>
      <c r="C10" s="23" t="n">
        <v>564</v>
      </c>
      <c r="D10" s="11" t="n">
        <v>46297.91666666666</v>
      </c>
      <c r="E10" s="11" t="n">
        <v>46298.41666666666</v>
      </c>
      <c r="F10" s="11" t="n">
        <v>46300.45833333334</v>
      </c>
      <c r="G10" s="24">
        <f>(E10-D10)*24</f>
        <v/>
      </c>
      <c r="H10" s="24">
        <f>(F10-E10)*24</f>
        <v/>
      </c>
      <c r="I10" s="23" t="inlineStr">
        <is>
          <t>–</t>
        </is>
      </c>
      <c r="J10" s="23" t="inlineStr"/>
    </row>
    <row r="11">
      <c r="A11" s="5" t="inlineStr">
        <is>
          <t>20F</t>
        </is>
      </c>
      <c r="B11" s="5" t="inlineStr">
        <is>
          <t>KMTC BANGKOK</t>
        </is>
      </c>
      <c r="C11" s="23" t="n">
        <v>564</v>
      </c>
      <c r="D11" s="11" t="n">
        <v>46297.29166666666</v>
      </c>
      <c r="E11" s="11" t="n">
        <v>46297.45833333334</v>
      </c>
      <c r="F11" s="11" t="n">
        <v>46298.70833333334</v>
      </c>
      <c r="G11" s="24">
        <f>(E11-D11)*24</f>
        <v/>
      </c>
      <c r="H11" s="24">
        <f>(F11-E11)*24</f>
        <v/>
      </c>
      <c r="I11" s="23" t="inlineStr">
        <is>
          <t>–</t>
        </is>
      </c>
      <c r="J11" s="23" t="inlineStr"/>
    </row>
    <row r="12">
      <c r="A12" s="5" t="inlineStr">
        <is>
          <t>20F</t>
        </is>
      </c>
      <c r="B12" s="5" t="inlineStr">
        <is>
          <t>XIN MING ZHOU 98</t>
        </is>
      </c>
      <c r="C12" s="23" t="n">
        <v>564</v>
      </c>
      <c r="D12" s="11" t="n">
        <v>46299.375</v>
      </c>
      <c r="E12" s="11" t="n">
        <v>46299.375</v>
      </c>
      <c r="F12" s="11" t="n">
        <v>46300.375</v>
      </c>
      <c r="G12" s="24">
        <f>(E12-D12)*24</f>
        <v/>
      </c>
      <c r="H12" s="24">
        <f>(F12-E12)*24</f>
        <v/>
      </c>
      <c r="I12" s="23" t="inlineStr">
        <is>
          <t>–</t>
        </is>
      </c>
      <c r="J12" s="23" t="inlineStr"/>
    </row>
    <row r="15">
      <c r="A15" s="34" t="inlineStr">
        <is>
          <t>Berth &amp; gate notices on this sheet</t>
        </is>
      </c>
    </row>
    <row r="16">
      <c r="A16" s="3" t="inlineStr">
        <is>
          <t>Berth / Gate</t>
        </is>
      </c>
      <c r="B16" s="3" t="inlineStr">
        <is>
          <t>Type</t>
        </is>
      </c>
      <c r="C16" s="3" t="n"/>
      <c r="D16" s="3" t="inlineStr">
        <is>
          <t>From</t>
        </is>
      </c>
      <c r="E16" s="3" t="inlineStr">
        <is>
          <t>To</t>
        </is>
      </c>
      <c r="F16" s="3" t="inlineStr">
        <is>
          <t>Notice / change vs previous sheet</t>
        </is>
      </c>
      <c r="G16" s="35" t="n"/>
      <c r="H16" s="35" t="n"/>
      <c r="I16" s="35" t="n"/>
      <c r="J16" s="36" t="n"/>
    </row>
    <row r="17" ht="42" customHeight="1">
      <c r="A17" s="16" t="inlineStr">
        <is>
          <t>20C</t>
        </is>
      </c>
      <c r="B17" s="16" t="inlineStr">
        <is>
          <t>Berth closed</t>
        </is>
      </c>
      <c r="C17" s="38" t="n"/>
      <c r="D17" s="17" t="inlineStr">
        <is>
          <t>–</t>
        </is>
      </c>
      <c r="E17" s="18" t="n">
        <v>46300</v>
      </c>
      <c r="F17" s="16" t="inlineStr">
        <is>
          <t>Wharf will be utilised on 5 Oct 2026  —  Unchanged</t>
        </is>
      </c>
      <c r="G17" s="38" t="n"/>
      <c r="H17" s="38" t="n"/>
      <c r="I17" s="38" t="n"/>
      <c r="J17" s="38" t="n"/>
    </row>
    <row r="18" ht="42" customHeight="1">
      <c r="A18" s="16" t="inlineStr">
        <is>
          <t>20C</t>
        </is>
      </c>
      <c r="B18" s="16" t="inlineStr">
        <is>
          <t>Cable splicing</t>
        </is>
      </c>
      <c r="C18" s="38" t="n"/>
      <c r="D18" s="20" t="n">
        <v>46299.375</v>
      </c>
      <c r="E18" s="20" t="n">
        <v>46299.5</v>
      </c>
      <c r="F18" s="16" t="inlineStr">
        <is>
          <t>20C and 20D cable splicing on 4 Oct 2026, 09:00–12:00  —  New (berthing-section sheet)</t>
        </is>
      </c>
      <c r="G18" s="38" t="n"/>
      <c r="H18" s="38" t="n"/>
      <c r="I18" s="38" t="n"/>
      <c r="J18" s="38" t="n"/>
    </row>
    <row r="19" ht="42" customHeight="1">
      <c r="A19" s="16" t="inlineStr">
        <is>
          <t>20D</t>
        </is>
      </c>
      <c r="B19" s="16" t="inlineStr">
        <is>
          <t>Cable splicing</t>
        </is>
      </c>
      <c r="C19" s="38" t="n"/>
      <c r="D19" s="20" t="n">
        <v>46299.375</v>
      </c>
      <c r="E19" s="20" t="n">
        <v>46299.5</v>
      </c>
      <c r="F19" s="16" t="inlineStr">
        <is>
          <t>20C and 20D cable splicing on 4 Oct 2026, 09:00–12:00  —  New (berthing-section sheet)</t>
        </is>
      </c>
      <c r="G19" s="38" t="n"/>
      <c r="H19" s="38" t="n"/>
      <c r="I19" s="38" t="n"/>
      <c r="J19" s="38" t="n"/>
    </row>
    <row r="20" ht="42" customHeight="1">
      <c r="A20" s="16" t="inlineStr">
        <is>
          <t>20D</t>
        </is>
      </c>
      <c r="B20" s="16" t="inlineStr">
        <is>
          <t>Berth closed</t>
        </is>
      </c>
      <c r="C20" s="38" t="n"/>
      <c r="D20" s="18" t="n">
        <v>46299</v>
      </c>
      <c r="E20" s="18" t="n">
        <v>46320</v>
      </c>
      <c r="F20" s="16" t="inlineStr">
        <is>
          <t>20D closed 4–25 Oct 2026 to renovate electric channel (cable track bays 1700–1800)  —  End moved 24 → 25 Oct (the feeder sheet of the same day still says 24)</t>
        </is>
      </c>
      <c r="G20" s="38" t="n"/>
      <c r="H20" s="38" t="n"/>
      <c r="I20" s="38" t="n"/>
      <c r="J20" s="38" t="n"/>
    </row>
    <row r="21" ht="42" customHeight="1">
      <c r="A21" s="16" t="inlineStr">
        <is>
          <t>20E / G.25</t>
        </is>
      </c>
      <c r="B21" s="16" t="inlineStr">
        <is>
          <t>Gate stopped</t>
        </is>
      </c>
      <c r="C21" s="38" t="n"/>
      <c r="D21" s="20" t="n">
        <v>46300.5</v>
      </c>
      <c r="E21" s="18" t="n">
        <v>46313</v>
      </c>
      <c r="F21" s="16" t="inlineStr">
        <is>
          <t>G.25 stops working from 5 Oct 12:00 to change trolley rail (bays 700–900); end date is cut off on this sheet, daily sheet says 18 Oct  —  Start time added (12:00); end date unclear</t>
        </is>
      </c>
      <c r="G21" s="38" t="n"/>
      <c r="H21" s="38" t="n"/>
      <c r="I21" s="38" t="n"/>
      <c r="J21" s="38" t="n"/>
    </row>
  </sheetData>
  <mergeCells count="6">
    <mergeCell ref="F17:J17"/>
    <mergeCell ref="F21:J21"/>
    <mergeCell ref="F20:J20"/>
    <mergeCell ref="F16:J16"/>
    <mergeCell ref="F19:J19"/>
    <mergeCell ref="F18:J18"/>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19"/>
  <sheetViews>
    <sheetView workbookViewId="0">
      <pane ySplit="3" topLeftCell="A4" activePane="bottomLeft" state="frozen"/>
      <selection pane="bottomLeft" activeCell="A1" sqref="A1"/>
    </sheetView>
  </sheetViews>
  <sheetFormatPr baseColWidth="8" defaultRowHeight="15"/>
  <cols>
    <col width="10" customWidth="1" min="1" max="1"/>
    <col width="20" customWidth="1" min="2" max="2"/>
    <col width="10" customWidth="1" min="3" max="3"/>
    <col width="16" customWidth="1" min="4" max="4"/>
    <col width="16" customWidth="1" min="5" max="5"/>
    <col width="16" customWidth="1" min="6" max="6"/>
    <col width="18" customWidth="1" min="7" max="7"/>
    <col width="16" customWidth="1" min="8" max="8"/>
    <col width="10" customWidth="1" min="9" max="9"/>
    <col width="10" customWidth="1" min="10" max="10"/>
  </cols>
  <sheetData>
    <row r="1">
      <c r="A1" s="1" t="inlineStr">
        <is>
          <t>PAT Berth Window — Vessel List by Berth — Sheet dated 04 Oct 2026</t>
        </is>
      </c>
    </row>
    <row r="3">
      <c r="A3" s="3" t="inlineStr">
        <is>
          <t>Berth</t>
        </is>
      </c>
      <c r="B3" s="3" t="inlineStr">
        <is>
          <t>Vessel</t>
        </is>
      </c>
      <c r="C3" s="3" t="inlineStr">
        <is>
          <t>LOA (m)</t>
        </is>
      </c>
      <c r="D3" s="3" t="inlineStr">
        <is>
          <t>ETA</t>
        </is>
      </c>
      <c r="E3" s="3" t="inlineStr">
        <is>
          <t>P.B</t>
        </is>
      </c>
      <c r="F3" s="3" t="inlineStr">
        <is>
          <t>ETD</t>
        </is>
      </c>
      <c r="G3" s="3" t="inlineStr">
        <is>
          <t>Waiting for Berth (h)</t>
        </is>
      </c>
      <c r="H3" s="3" t="inlineStr">
        <is>
          <t>Hours Alongside</t>
        </is>
      </c>
      <c r="I3" s="3" t="inlineStr">
        <is>
          <t>Shift</t>
        </is>
      </c>
      <c r="J3" s="3" t="inlineStr">
        <is>
          <t>Marked</t>
        </is>
      </c>
    </row>
    <row r="4">
      <c r="A4" s="5" t="inlineStr">
        <is>
          <t>20AB</t>
        </is>
      </c>
      <c r="B4" s="5" t="inlineStr">
        <is>
          <t>RESURGENCE</t>
        </is>
      </c>
      <c r="C4" s="23" t="n">
        <v>458</v>
      </c>
      <c r="D4" s="11" t="n">
        <v>46298.5</v>
      </c>
      <c r="E4" s="11" t="n">
        <v>46298.5</v>
      </c>
      <c r="F4" s="11" t="n">
        <v>46299.70833333334</v>
      </c>
      <c r="G4" s="24">
        <f>(E4-D4)*24</f>
        <v/>
      </c>
      <c r="H4" s="24">
        <f>(F4-E4)*24</f>
        <v/>
      </c>
      <c r="I4" s="23" t="inlineStr">
        <is>
          <t>–</t>
        </is>
      </c>
      <c r="J4" s="23" t="inlineStr"/>
    </row>
    <row r="5">
      <c r="A5" s="5" t="inlineStr">
        <is>
          <t>20AB</t>
        </is>
      </c>
      <c r="B5" s="5" t="inlineStr">
        <is>
          <t>ZHONG GU BEI HAI</t>
        </is>
      </c>
      <c r="C5" s="23" t="n">
        <v>561</v>
      </c>
      <c r="D5" s="11" t="n">
        <v>46299.375</v>
      </c>
      <c r="E5" s="11" t="n">
        <v>46299.625</v>
      </c>
      <c r="F5" s="11" t="n">
        <v>46301.41666666666</v>
      </c>
      <c r="G5" s="24">
        <f>(E5-D5)*24</f>
        <v/>
      </c>
      <c r="H5" s="24">
        <f>(F5-E5)*24</f>
        <v/>
      </c>
      <c r="I5" s="23" t="inlineStr">
        <is>
          <t>–</t>
        </is>
      </c>
      <c r="J5" s="23" t="inlineStr"/>
    </row>
    <row r="6">
      <c r="A6" s="5" t="inlineStr">
        <is>
          <t>20AB</t>
        </is>
      </c>
      <c r="B6" s="5" t="inlineStr">
        <is>
          <t>JOSCO LUCKY</t>
        </is>
      </c>
      <c r="C6" s="23" t="n">
        <v>564</v>
      </c>
      <c r="D6" s="11" t="n">
        <v>46300.91666666666</v>
      </c>
      <c r="E6" s="11" t="n">
        <v>46301.5</v>
      </c>
      <c r="F6" s="11" t="n">
        <v>46302.54166666666</v>
      </c>
      <c r="G6" s="24">
        <f>(E6-D6)*24</f>
        <v/>
      </c>
      <c r="H6" s="24">
        <f>(F6-E6)*24</f>
        <v/>
      </c>
      <c r="I6" s="23" t="inlineStr">
        <is>
          <t>–</t>
        </is>
      </c>
      <c r="J6" s="23" t="inlineStr"/>
    </row>
    <row r="7">
      <c r="A7" s="5" t="inlineStr">
        <is>
          <t>20B</t>
        </is>
      </c>
      <c r="B7" s="5" t="inlineStr">
        <is>
          <t>YM IMPROVEMENT</t>
        </is>
      </c>
      <c r="C7" s="23" t="n">
        <v>564</v>
      </c>
      <c r="D7" s="11" t="n">
        <v>46298.95833333334</v>
      </c>
      <c r="E7" s="11" t="n">
        <v>46299.41666666666</v>
      </c>
      <c r="F7" s="11" t="n">
        <v>46300.5</v>
      </c>
      <c r="G7" s="24">
        <f>(E7-D7)*24</f>
        <v/>
      </c>
      <c r="H7" s="24">
        <f>(F7-E7)*24</f>
        <v/>
      </c>
      <c r="I7" s="23" t="inlineStr">
        <is>
          <t>–</t>
        </is>
      </c>
      <c r="J7" s="23" t="inlineStr"/>
    </row>
    <row r="8">
      <c r="A8" s="5" t="inlineStr">
        <is>
          <t>20B</t>
        </is>
      </c>
      <c r="B8" s="5" t="inlineStr">
        <is>
          <t>SAWASDEE SPICA</t>
        </is>
      </c>
      <c r="C8" s="23" t="n">
        <v>564</v>
      </c>
      <c r="D8" s="11" t="n">
        <v>46300.875</v>
      </c>
      <c r="E8" s="11" t="n">
        <v>46301.54166666666</v>
      </c>
      <c r="F8" s="11" t="n">
        <v>46303.54166666666</v>
      </c>
      <c r="G8" s="24">
        <f>(E8-D8)*24</f>
        <v/>
      </c>
      <c r="H8" s="24">
        <f>(F8-E8)*24</f>
        <v/>
      </c>
      <c r="I8" s="23" t="inlineStr">
        <is>
          <t>–</t>
        </is>
      </c>
      <c r="J8" s="23" t="inlineStr"/>
    </row>
    <row r="9">
      <c r="A9" s="5" t="inlineStr">
        <is>
          <t>20C</t>
        </is>
      </c>
      <c r="B9" s="5" t="inlineStr">
        <is>
          <t>SAWASDEE DENEB</t>
        </is>
      </c>
      <c r="C9" s="23" t="n">
        <v>564</v>
      </c>
      <c r="D9" s="11" t="n">
        <v>46300</v>
      </c>
      <c r="E9" s="11" t="n">
        <v>46300.5</v>
      </c>
      <c r="F9" s="11" t="n">
        <v>46302.5</v>
      </c>
      <c r="G9" s="24">
        <f>(E9-D9)*24</f>
        <v/>
      </c>
      <c r="H9" s="24">
        <f>(F9-E9)*24</f>
        <v/>
      </c>
      <c r="I9" s="23" t="inlineStr">
        <is>
          <t>–</t>
        </is>
      </c>
      <c r="J9" s="23" t="inlineStr"/>
    </row>
    <row r="10">
      <c r="A10" s="5" t="inlineStr">
        <is>
          <t>20E</t>
        </is>
      </c>
      <c r="B10" s="5" t="inlineStr">
        <is>
          <t>WAN HAI 278</t>
        </is>
      </c>
      <c r="C10" s="23" t="n">
        <v>564</v>
      </c>
      <c r="D10" s="11" t="n">
        <v>46297.75</v>
      </c>
      <c r="E10" s="11" t="n">
        <v>46298.41666666666</v>
      </c>
      <c r="F10" s="11" t="n">
        <v>46300.45833333334</v>
      </c>
      <c r="G10" s="24">
        <f>(E10-D10)*24</f>
        <v/>
      </c>
      <c r="H10" s="24">
        <f>(F10-E10)*24</f>
        <v/>
      </c>
      <c r="I10" s="23" t="inlineStr">
        <is>
          <t>–</t>
        </is>
      </c>
      <c r="J10" s="23" t="inlineStr"/>
    </row>
    <row r="11">
      <c r="A11" s="5" t="inlineStr">
        <is>
          <t>20F</t>
        </is>
      </c>
      <c r="B11" s="5" t="inlineStr">
        <is>
          <t>XIN MING ZHOU 98</t>
        </is>
      </c>
      <c r="C11" s="23" t="n">
        <v>564</v>
      </c>
      <c r="D11" s="11" t="n">
        <v>46299.375</v>
      </c>
      <c r="E11" s="11" t="n">
        <v>46299.375</v>
      </c>
      <c r="F11" s="11" t="n">
        <v>46300.375</v>
      </c>
      <c r="G11" s="24">
        <f>(E11-D11)*24</f>
        <v/>
      </c>
      <c r="H11" s="24">
        <f>(F11-E11)*24</f>
        <v/>
      </c>
      <c r="I11" s="23" t="inlineStr">
        <is>
          <t>–</t>
        </is>
      </c>
      <c r="J11" s="23" t="inlineStr"/>
    </row>
    <row r="12">
      <c r="A12" s="5" t="inlineStr">
        <is>
          <t>20F</t>
        </is>
      </c>
      <c r="B12" s="5" t="inlineStr">
        <is>
          <t>KMTC TOKYO</t>
        </is>
      </c>
      <c r="C12" s="23" t="n">
        <v>565</v>
      </c>
      <c r="D12" s="11" t="n">
        <v>46301.58333333334</v>
      </c>
      <c r="E12" s="11" t="n">
        <v>46301.58333333334</v>
      </c>
      <c r="F12" s="11" t="n">
        <v>46303.5</v>
      </c>
      <c r="G12" s="24">
        <f>(E12-D12)*24</f>
        <v/>
      </c>
      <c r="H12" s="24">
        <f>(F12-E12)*24</f>
        <v/>
      </c>
      <c r="I12" s="23" t="inlineStr">
        <is>
          <t>–</t>
        </is>
      </c>
      <c r="J12" s="23" t="inlineStr"/>
    </row>
    <row r="15">
      <c r="A15" s="34" t="inlineStr">
        <is>
          <t>Berth &amp; gate notices on this sheet</t>
        </is>
      </c>
    </row>
    <row r="16">
      <c r="A16" s="3" t="inlineStr">
        <is>
          <t>Berth / Gate</t>
        </is>
      </c>
      <c r="B16" s="3" t="inlineStr">
        <is>
          <t>Type</t>
        </is>
      </c>
      <c r="C16" s="3" t="n"/>
      <c r="D16" s="3" t="inlineStr">
        <is>
          <t>From</t>
        </is>
      </c>
      <c r="E16" s="3" t="inlineStr">
        <is>
          <t>To</t>
        </is>
      </c>
      <c r="F16" s="3" t="inlineStr">
        <is>
          <t>Notice / change vs previous sheet</t>
        </is>
      </c>
      <c r="G16" s="35" t="n"/>
      <c r="H16" s="35" t="n"/>
      <c r="I16" s="35" t="n"/>
      <c r="J16" s="36" t="n"/>
    </row>
    <row r="17" ht="42" customHeight="1">
      <c r="A17" s="16" t="inlineStr">
        <is>
          <t>20C</t>
        </is>
      </c>
      <c r="B17" s="16" t="inlineStr">
        <is>
          <t>Berth closed</t>
        </is>
      </c>
      <c r="C17" s="38" t="n"/>
      <c r="D17" s="17" t="inlineStr">
        <is>
          <t>–</t>
        </is>
      </c>
      <c r="E17" s="18" t="n">
        <v>46300</v>
      </c>
      <c r="F17" s="16" t="inlineStr">
        <is>
          <t>Wharf will be utilised on 5 Oct (sheet prints 2027, treated as a typo)  —  Unchanged</t>
        </is>
      </c>
      <c r="G17" s="38" t="n"/>
      <c r="H17" s="38" t="n"/>
      <c r="I17" s="38" t="n"/>
      <c r="J17" s="38" t="n"/>
    </row>
    <row r="18" ht="42" customHeight="1">
      <c r="A18" s="16" t="inlineStr">
        <is>
          <t>20D</t>
        </is>
      </c>
      <c r="B18" s="16" t="inlineStr">
        <is>
          <t>Berth closed</t>
        </is>
      </c>
      <c r="C18" s="38" t="n"/>
      <c r="D18" s="18" t="n">
        <v>46299</v>
      </c>
      <c r="E18" s="18" t="n">
        <v>46319</v>
      </c>
      <c r="F18" s="16" t="inlineStr">
        <is>
          <t>Close on 4–24 Oct 2026 to renovate electric channel  —  End back to 24 Oct</t>
        </is>
      </c>
      <c r="G18" s="38" t="n"/>
      <c r="H18" s="38" t="n"/>
      <c r="I18" s="38" t="n"/>
      <c r="J18" s="38" t="n"/>
    </row>
    <row r="19" ht="42" customHeight="1">
      <c r="A19" s="9" t="inlineStr">
        <is>
          <t>20E / G.25</t>
        </is>
      </c>
      <c r="B19" s="9" t="inlineStr">
        <is>
          <t>Gate stopped</t>
        </is>
      </c>
      <c r="C19" s="37" t="n"/>
      <c r="D19" s="10" t="n">
        <v>46300</v>
      </c>
      <c r="E19" s="10" t="n">
        <v>46313</v>
      </c>
      <c r="F19" s="9" t="inlineStr">
        <is>
          <t>G.25 stops working 5–18 Oct 2026 to change trolley rail  —  End confirmed as 18 Oct</t>
        </is>
      </c>
      <c r="G19" s="37" t="n"/>
      <c r="H19" s="37" t="n"/>
      <c r="I19" s="37" t="n"/>
      <c r="J19" s="37" t="n"/>
    </row>
  </sheetData>
  <mergeCells count="4">
    <mergeCell ref="F17:J17"/>
    <mergeCell ref="F19:J19"/>
    <mergeCell ref="F18:J18"/>
    <mergeCell ref="F16:J16"/>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21"/>
  <sheetViews>
    <sheetView workbookViewId="0">
      <pane ySplit="3" topLeftCell="A4" activePane="bottomLeft" state="frozen"/>
      <selection pane="bottomLeft" activeCell="A1" sqref="A1"/>
    </sheetView>
  </sheetViews>
  <sheetFormatPr baseColWidth="8" defaultRowHeight="15"/>
  <cols>
    <col width="10" customWidth="1" min="1" max="1"/>
    <col width="20" customWidth="1" min="2" max="2"/>
    <col width="10" customWidth="1" min="3" max="3"/>
    <col width="16" customWidth="1" min="4" max="4"/>
    <col width="16" customWidth="1" min="5" max="5"/>
    <col width="16" customWidth="1" min="6" max="6"/>
    <col width="18" customWidth="1" min="7" max="7"/>
    <col width="16" customWidth="1" min="8" max="8"/>
    <col width="10" customWidth="1" min="9" max="9"/>
    <col width="10" customWidth="1" min="10" max="10"/>
  </cols>
  <sheetData>
    <row r="1">
      <c r="A1" s="1" t="inlineStr">
        <is>
          <t>PAT Berth Window — Vessel List by Berth — Sheet dated 05 Oct 2026</t>
        </is>
      </c>
    </row>
    <row r="3">
      <c r="A3" s="3" t="inlineStr">
        <is>
          <t>Berth</t>
        </is>
      </c>
      <c r="B3" s="3" t="inlineStr">
        <is>
          <t>Vessel</t>
        </is>
      </c>
      <c r="C3" s="3" t="inlineStr">
        <is>
          <t>LOA (m)</t>
        </is>
      </c>
      <c r="D3" s="3" t="inlineStr">
        <is>
          <t>ETA</t>
        </is>
      </c>
      <c r="E3" s="3" t="inlineStr">
        <is>
          <t>P.B</t>
        </is>
      </c>
      <c r="F3" s="3" t="inlineStr">
        <is>
          <t>ETD</t>
        </is>
      </c>
      <c r="G3" s="3" t="inlineStr">
        <is>
          <t>Waiting for Berth (h)</t>
        </is>
      </c>
      <c r="H3" s="3" t="inlineStr">
        <is>
          <t>Hours Alongside</t>
        </is>
      </c>
      <c r="I3" s="3" t="inlineStr">
        <is>
          <t>Shift</t>
        </is>
      </c>
      <c r="J3" s="3" t="inlineStr">
        <is>
          <t>Marked</t>
        </is>
      </c>
    </row>
    <row r="4">
      <c r="A4" s="5" t="inlineStr">
        <is>
          <t>20AB</t>
        </is>
      </c>
      <c r="B4" s="5" t="inlineStr">
        <is>
          <t>ZHONG GU BEI HAI</t>
        </is>
      </c>
      <c r="C4" s="23" t="n">
        <v>561</v>
      </c>
      <c r="D4" s="11" t="n">
        <v>46299.375</v>
      </c>
      <c r="E4" s="11" t="n">
        <v>46299.625</v>
      </c>
      <c r="F4" s="11" t="n">
        <v>46301.45833333334</v>
      </c>
      <c r="G4" s="24">
        <f>(E4-D4)*24</f>
        <v/>
      </c>
      <c r="H4" s="24">
        <f>(F4-E4)*24</f>
        <v/>
      </c>
      <c r="I4" s="23" t="inlineStr">
        <is>
          <t>–</t>
        </is>
      </c>
      <c r="J4" s="23" t="inlineStr"/>
    </row>
    <row r="5">
      <c r="A5" s="5" t="inlineStr">
        <is>
          <t>20AB</t>
        </is>
      </c>
      <c r="B5" s="5" t="inlineStr">
        <is>
          <t>KMTC TOKYO</t>
        </is>
      </c>
      <c r="C5" s="23" t="n">
        <v>565</v>
      </c>
      <c r="D5" s="11" t="n">
        <v>46301.54166666666</v>
      </c>
      <c r="E5" s="11" t="n">
        <v>46301.54166666666</v>
      </c>
      <c r="F5" s="11" t="n">
        <v>46303.5</v>
      </c>
      <c r="G5" s="24">
        <f>(E5-D5)*24</f>
        <v/>
      </c>
      <c r="H5" s="24">
        <f>(F5-E5)*24</f>
        <v/>
      </c>
      <c r="I5" s="23" t="inlineStr">
        <is>
          <t>–</t>
        </is>
      </c>
      <c r="J5" s="23" t="inlineStr"/>
    </row>
    <row r="6">
      <c r="A6" s="6" t="inlineStr">
        <is>
          <t>20AB</t>
        </is>
      </c>
      <c r="B6" s="6" t="inlineStr">
        <is>
          <t>GREEN PARK</t>
        </is>
      </c>
      <c r="C6" s="17" t="n">
        <v>482</v>
      </c>
      <c r="D6" s="20" t="n">
        <v>46302.45833333334</v>
      </c>
      <c r="E6" s="20" t="n">
        <v>46303.625</v>
      </c>
      <c r="F6" s="20" t="n">
        <v>46304.58333333334</v>
      </c>
      <c r="G6" s="26">
        <f>(E6-D6)*24</f>
        <v/>
      </c>
      <c r="H6" s="26">
        <f>(F6-E6)*24</f>
        <v/>
      </c>
      <c r="I6" s="17" t="inlineStr">
        <is>
          <t>–</t>
        </is>
      </c>
      <c r="J6" s="17" t="inlineStr">
        <is>
          <t>Yes</t>
        </is>
      </c>
    </row>
    <row r="7">
      <c r="A7" s="5" t="inlineStr">
        <is>
          <t>20B</t>
        </is>
      </c>
      <c r="B7" s="5" t="inlineStr">
        <is>
          <t>YM IMPROVEMENT</t>
        </is>
      </c>
      <c r="C7" s="23" t="n">
        <v>564</v>
      </c>
      <c r="D7" s="11" t="n">
        <v>46298.95833333334</v>
      </c>
      <c r="E7" s="11" t="n">
        <v>46299.41666666666</v>
      </c>
      <c r="F7" s="11" t="n">
        <v>46300.5</v>
      </c>
      <c r="G7" s="24">
        <f>(E7-D7)*24</f>
        <v/>
      </c>
      <c r="H7" s="24">
        <f>(F7-E7)*24</f>
        <v/>
      </c>
      <c r="I7" s="23" t="inlineStr">
        <is>
          <t>–</t>
        </is>
      </c>
      <c r="J7" s="23" t="inlineStr"/>
    </row>
    <row r="8">
      <c r="A8" s="5" t="inlineStr">
        <is>
          <t>20B</t>
        </is>
      </c>
      <c r="B8" s="5" t="inlineStr">
        <is>
          <t>SAWASDEE SPICA</t>
        </is>
      </c>
      <c r="C8" s="23" t="n">
        <v>564</v>
      </c>
      <c r="D8" s="11" t="n">
        <v>46300.875</v>
      </c>
      <c r="E8" s="11" t="n">
        <v>46301.54166666666</v>
      </c>
      <c r="F8" s="11" t="n">
        <v>46303.54166666666</v>
      </c>
      <c r="G8" s="24">
        <f>(E8-D8)*24</f>
        <v/>
      </c>
      <c r="H8" s="24">
        <f>(F8-E8)*24</f>
        <v/>
      </c>
      <c r="I8" s="23" t="inlineStr">
        <is>
          <t>–</t>
        </is>
      </c>
      <c r="J8" s="23" t="inlineStr"/>
    </row>
    <row r="9">
      <c r="A9" s="5" t="inlineStr">
        <is>
          <t>20C</t>
        </is>
      </c>
      <c r="B9" s="5" t="inlineStr">
        <is>
          <t>SAWASDEE DENEB</t>
        </is>
      </c>
      <c r="C9" s="23" t="n">
        <v>564</v>
      </c>
      <c r="D9" s="11" t="n">
        <v>46300</v>
      </c>
      <c r="E9" s="11" t="n">
        <v>46300.5</v>
      </c>
      <c r="F9" s="11" t="n">
        <v>46302.5</v>
      </c>
      <c r="G9" s="24">
        <f>(E9-D9)*24</f>
        <v/>
      </c>
      <c r="H9" s="24">
        <f>(F9-E9)*24</f>
        <v/>
      </c>
      <c r="I9" s="23" t="inlineStr">
        <is>
          <t>–</t>
        </is>
      </c>
      <c r="J9" s="23" t="inlineStr"/>
    </row>
    <row r="10">
      <c r="A10" s="5" t="inlineStr">
        <is>
          <t>20C</t>
        </is>
      </c>
      <c r="B10" s="5" t="inlineStr">
        <is>
          <t>SAWASDEE ATLANTIC</t>
        </is>
      </c>
      <c r="C10" s="23" t="n">
        <v>564</v>
      </c>
      <c r="D10" s="11" t="n">
        <v>46302.91666666666</v>
      </c>
      <c r="E10" s="11" t="n">
        <v>46303.625</v>
      </c>
      <c r="F10" s="11" t="n">
        <v>46305.54166666666</v>
      </c>
      <c r="G10" s="24">
        <f>(E10-D10)*24</f>
        <v/>
      </c>
      <c r="H10" s="24">
        <f>(F10-E10)*24</f>
        <v/>
      </c>
      <c r="I10" s="23" t="inlineStr">
        <is>
          <t>–</t>
        </is>
      </c>
      <c r="J10" s="23" t="inlineStr"/>
    </row>
    <row r="11">
      <c r="A11" s="5" t="inlineStr">
        <is>
          <t>20D</t>
        </is>
      </c>
      <c r="B11" s="5" t="inlineStr">
        <is>
          <t>JOSCO LUCKY</t>
        </is>
      </c>
      <c r="C11" s="23" t="n">
        <v>564</v>
      </c>
      <c r="D11" s="11" t="n">
        <v>46301.75</v>
      </c>
      <c r="E11" s="11" t="n">
        <v>46301.75</v>
      </c>
      <c r="F11" s="11" t="n">
        <v>46302.625</v>
      </c>
      <c r="G11" s="24">
        <f>(E11-D11)*24</f>
        <v/>
      </c>
      <c r="H11" s="24">
        <f>(F11-E11)*24</f>
        <v/>
      </c>
      <c r="I11" s="23" t="inlineStr">
        <is>
          <t>–</t>
        </is>
      </c>
      <c r="J11" s="23" t="inlineStr"/>
    </row>
    <row r="12">
      <c r="A12" s="6" t="inlineStr">
        <is>
          <t>20D</t>
        </is>
      </c>
      <c r="B12" s="6" t="inlineStr">
        <is>
          <t>MTT BANGKOK</t>
        </is>
      </c>
      <c r="C12" s="17" t="n">
        <v>564</v>
      </c>
      <c r="D12" s="20" t="n">
        <v>46302.625</v>
      </c>
      <c r="E12" s="20" t="n">
        <v>46302.70833333334</v>
      </c>
      <c r="F12" s="20" t="n">
        <v>46304.54166666666</v>
      </c>
      <c r="G12" s="26">
        <f>(E12-D12)*24</f>
        <v/>
      </c>
      <c r="H12" s="26">
        <f>(F12-E12)*24</f>
        <v/>
      </c>
      <c r="I12" s="17" t="inlineStr">
        <is>
          <t>–</t>
        </is>
      </c>
      <c r="J12" s="17" t="inlineStr">
        <is>
          <t>Yes</t>
        </is>
      </c>
    </row>
    <row r="13">
      <c r="A13" s="5" t="inlineStr">
        <is>
          <t>20E</t>
        </is>
      </c>
      <c r="B13" s="5" t="inlineStr">
        <is>
          <t>WAN HAI 278</t>
        </is>
      </c>
      <c r="C13" s="23" t="n">
        <v>564</v>
      </c>
      <c r="D13" s="11" t="n">
        <v>46297.75</v>
      </c>
      <c r="E13" s="11" t="n">
        <v>46298.41666666666</v>
      </c>
      <c r="F13" s="11" t="n">
        <v>46300.45833333334</v>
      </c>
      <c r="G13" s="24">
        <f>(E13-D13)*24</f>
        <v/>
      </c>
      <c r="H13" s="24">
        <f>(F13-E13)*24</f>
        <v/>
      </c>
      <c r="I13" s="23" t="inlineStr">
        <is>
          <t>–</t>
        </is>
      </c>
      <c r="J13" s="23" t="inlineStr"/>
    </row>
    <row r="14">
      <c r="A14" s="6" t="inlineStr">
        <is>
          <t>20F</t>
        </is>
      </c>
      <c r="B14" s="6" t="inlineStr">
        <is>
          <t>XIN AN</t>
        </is>
      </c>
      <c r="C14" s="17" t="n">
        <v>564</v>
      </c>
      <c r="D14" s="20" t="n">
        <v>46302.58333333334</v>
      </c>
      <c r="E14" s="20" t="n">
        <v>46302.70833333334</v>
      </c>
      <c r="F14" s="20" t="n">
        <v>46304.54166666666</v>
      </c>
      <c r="G14" s="26">
        <f>(E14-D14)*24</f>
        <v/>
      </c>
      <c r="H14" s="26">
        <f>(F14-E14)*24</f>
        <v/>
      </c>
      <c r="I14" s="17" t="inlineStr">
        <is>
          <t>–</t>
        </is>
      </c>
      <c r="J14" s="17" t="inlineStr">
        <is>
          <t>Yes</t>
        </is>
      </c>
    </row>
    <row r="17">
      <c r="A17" s="34" t="inlineStr">
        <is>
          <t>Berth &amp; gate notices on this sheet</t>
        </is>
      </c>
    </row>
    <row r="18">
      <c r="A18" s="3" t="inlineStr">
        <is>
          <t>Berth / Gate</t>
        </is>
      </c>
      <c r="B18" s="3" t="inlineStr">
        <is>
          <t>Type</t>
        </is>
      </c>
      <c r="C18" s="3" t="n"/>
      <c r="D18" s="3" t="inlineStr">
        <is>
          <t>From</t>
        </is>
      </c>
      <c r="E18" s="3" t="inlineStr">
        <is>
          <t>To</t>
        </is>
      </c>
      <c r="F18" s="3" t="inlineStr">
        <is>
          <t>Notice / change vs previous sheet</t>
        </is>
      </c>
      <c r="G18" s="35" t="n"/>
      <c r="H18" s="35" t="n"/>
      <c r="I18" s="35" t="n"/>
      <c r="J18" s="36" t="n"/>
    </row>
    <row r="19" ht="42" customHeight="1">
      <c r="A19" s="16" t="inlineStr">
        <is>
          <t>20C</t>
        </is>
      </c>
      <c r="B19" s="16" t="inlineStr">
        <is>
          <t>Berth closed</t>
        </is>
      </c>
      <c r="C19" s="38" t="n"/>
      <c r="D19" s="17" t="inlineStr">
        <is>
          <t>–</t>
        </is>
      </c>
      <c r="E19" s="17" t="inlineStr">
        <is>
          <t>–</t>
        </is>
      </c>
      <c r="F19" s="16" t="inlineStr">
        <is>
          <t>(no notice – wharf open)  —  Notice removed: 20C reopened on 5 Oct</t>
        </is>
      </c>
      <c r="G19" s="38" t="n"/>
      <c r="H19" s="38" t="n"/>
      <c r="I19" s="38" t="n"/>
      <c r="J19" s="38" t="n"/>
    </row>
    <row r="20" ht="42" customHeight="1">
      <c r="A20" s="16" t="inlineStr">
        <is>
          <t>20D</t>
        </is>
      </c>
      <c r="B20" s="16" t="inlineStr">
        <is>
          <t>Berth closed</t>
        </is>
      </c>
      <c r="C20" s="38" t="n"/>
      <c r="D20" s="18" t="n">
        <v>46299</v>
      </c>
      <c r="E20" s="18" t="n">
        <v>46319</v>
      </c>
      <c r="F20" s="16" t="inlineStr">
        <is>
          <t>Close on 4–24 Oct 2026 to renovate electric channel (but JOSCO LUCKY and MTT BANGKOK are booked at 20D from 06/18)  —  Unchanged – conflicts with vessel bookings, please confirm</t>
        </is>
      </c>
      <c r="G20" s="38" t="n"/>
      <c r="H20" s="38" t="n"/>
      <c r="I20" s="38" t="n"/>
      <c r="J20" s="38" t="n"/>
    </row>
    <row r="21" ht="42" customHeight="1">
      <c r="A21" s="16" t="inlineStr">
        <is>
          <t>20E / G.25</t>
        </is>
      </c>
      <c r="B21" s="16" t="inlineStr">
        <is>
          <t>Gate stopped</t>
        </is>
      </c>
      <c r="C21" s="38" t="n"/>
      <c r="D21" s="18" t="n">
        <v>46300</v>
      </c>
      <c r="E21" s="18" t="n">
        <v>46313</v>
      </c>
      <c r="F21" s="16" t="inlineStr">
        <is>
          <t>G.25 stops working 5–18 Oct 2026 to change trolley rail  —  Unchanged</t>
        </is>
      </c>
      <c r="G21" s="38" t="n"/>
      <c r="H21" s="38" t="n"/>
      <c r="I21" s="38" t="n"/>
      <c r="J21" s="38" t="n"/>
    </row>
  </sheetData>
  <mergeCells count="4">
    <mergeCell ref="F19:J19"/>
    <mergeCell ref="F18:J18"/>
    <mergeCell ref="F20:J20"/>
    <mergeCell ref="F21:J2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23"/>
  <sheetViews>
    <sheetView workbookViewId="0">
      <pane ySplit="3" topLeftCell="A4" activePane="bottomLeft" state="frozen"/>
      <selection pane="bottomLeft" activeCell="A1" sqref="A1"/>
    </sheetView>
  </sheetViews>
  <sheetFormatPr baseColWidth="8" defaultRowHeight="15"/>
  <cols>
    <col width="10" customWidth="1" min="1" max="1"/>
    <col width="20" customWidth="1" min="2" max="2"/>
    <col width="10" customWidth="1" min="3" max="3"/>
    <col width="16" customWidth="1" min="4" max="4"/>
    <col width="16" customWidth="1" min="5" max="5"/>
    <col width="16" customWidth="1" min="6" max="6"/>
    <col width="18" customWidth="1" min="7" max="7"/>
    <col width="16" customWidth="1" min="8" max="8"/>
    <col width="10" customWidth="1" min="9" max="9"/>
    <col width="10" customWidth="1" min="10" max="10"/>
  </cols>
  <sheetData>
    <row r="1">
      <c r="A1" s="1" t="inlineStr">
        <is>
          <t>PAT Berth Window — Vessel List by Berth — Sheet dated 06 Oct 2026</t>
        </is>
      </c>
    </row>
    <row r="3">
      <c r="A3" s="3" t="inlineStr">
        <is>
          <t>Berth</t>
        </is>
      </c>
      <c r="B3" s="3" t="inlineStr">
        <is>
          <t>Vessel</t>
        </is>
      </c>
      <c r="C3" s="3" t="inlineStr">
        <is>
          <t>LOA (m)</t>
        </is>
      </c>
      <c r="D3" s="3" t="inlineStr">
        <is>
          <t>ETA</t>
        </is>
      </c>
      <c r="E3" s="3" t="inlineStr">
        <is>
          <t>P.B</t>
        </is>
      </c>
      <c r="F3" s="3" t="inlineStr">
        <is>
          <t>ETD</t>
        </is>
      </c>
      <c r="G3" s="3" t="inlineStr">
        <is>
          <t>Waiting for Berth (h)</t>
        </is>
      </c>
      <c r="H3" s="3" t="inlineStr">
        <is>
          <t>Hours Alongside</t>
        </is>
      </c>
      <c r="I3" s="3" t="inlineStr">
        <is>
          <t>Shift</t>
        </is>
      </c>
      <c r="J3" s="3" t="inlineStr">
        <is>
          <t>Marked</t>
        </is>
      </c>
    </row>
    <row r="4">
      <c r="A4" s="5" t="inlineStr">
        <is>
          <t>20AB</t>
        </is>
      </c>
      <c r="B4" s="5" t="inlineStr">
        <is>
          <t>ZHONG GU BEI HAI</t>
        </is>
      </c>
      <c r="C4" s="23" t="n">
        <v>561</v>
      </c>
      <c r="D4" s="11" t="n">
        <v>46299.375</v>
      </c>
      <c r="E4" s="11" t="n">
        <v>46299.625</v>
      </c>
      <c r="F4" s="11" t="n">
        <v>46301.45833333334</v>
      </c>
      <c r="G4" s="24">
        <f>(E4-D4)*24</f>
        <v/>
      </c>
      <c r="H4" s="24">
        <f>(F4-E4)*24</f>
        <v/>
      </c>
      <c r="I4" s="23" t="inlineStr">
        <is>
          <t>–</t>
        </is>
      </c>
      <c r="J4" s="23" t="inlineStr"/>
    </row>
    <row r="5">
      <c r="A5" s="5" t="inlineStr">
        <is>
          <t>20AB</t>
        </is>
      </c>
      <c r="B5" s="5" t="inlineStr">
        <is>
          <t>KMTC TOKYO</t>
        </is>
      </c>
      <c r="C5" s="23" t="n">
        <v>565</v>
      </c>
      <c r="D5" s="11" t="n">
        <v>46301.54166666666</v>
      </c>
      <c r="E5" s="11" t="n">
        <v>46301.54166666666</v>
      </c>
      <c r="F5" s="11" t="n">
        <v>46303.5</v>
      </c>
      <c r="G5" s="24">
        <f>(E5-D5)*24</f>
        <v/>
      </c>
      <c r="H5" s="24">
        <f>(F5-E5)*24</f>
        <v/>
      </c>
      <c r="I5" s="23" t="inlineStr">
        <is>
          <t>–</t>
        </is>
      </c>
      <c r="J5" s="23" t="inlineStr"/>
    </row>
    <row r="6">
      <c r="A6" s="5" t="inlineStr">
        <is>
          <t>20AB</t>
        </is>
      </c>
      <c r="B6" s="5" t="inlineStr">
        <is>
          <t>SITC HOCHIMINH</t>
        </is>
      </c>
      <c r="C6" s="23" t="n">
        <v>470</v>
      </c>
      <c r="D6" s="11" t="n">
        <v>46302.79166666666</v>
      </c>
      <c r="E6" s="11" t="n">
        <v>46303.58333333334</v>
      </c>
      <c r="F6" s="11" t="n">
        <v>46304.70833333334</v>
      </c>
      <c r="G6" s="24">
        <f>(E6-D6)*24</f>
        <v/>
      </c>
      <c r="H6" s="24">
        <f>(F6-E6)*24</f>
        <v/>
      </c>
      <c r="I6" s="23" t="inlineStr">
        <is>
          <t>–</t>
        </is>
      </c>
      <c r="J6" s="23" t="inlineStr"/>
    </row>
    <row r="7">
      <c r="A7" s="5" t="inlineStr">
        <is>
          <t>20AB</t>
        </is>
      </c>
      <c r="B7" s="5" t="inlineStr">
        <is>
          <t>YM INCEPTION</t>
        </is>
      </c>
      <c r="C7" s="23" t="n">
        <v>564</v>
      </c>
      <c r="D7" s="11" t="n">
        <v>46303.54166666666</v>
      </c>
      <c r="E7" s="11" t="n">
        <v>46304.625</v>
      </c>
      <c r="F7" s="11" t="n">
        <v>46305.66666666666</v>
      </c>
      <c r="G7" s="24">
        <f>(E7-D7)*24</f>
        <v/>
      </c>
      <c r="H7" s="24">
        <f>(F7-E7)*24</f>
        <v/>
      </c>
      <c r="I7" s="23" t="inlineStr">
        <is>
          <t>–</t>
        </is>
      </c>
      <c r="J7" s="23" t="inlineStr"/>
    </row>
    <row r="8">
      <c r="A8" s="5" t="inlineStr">
        <is>
          <t>20B</t>
        </is>
      </c>
      <c r="B8" s="5" t="inlineStr">
        <is>
          <t>SAWASDEE SPICA</t>
        </is>
      </c>
      <c r="C8" s="23" t="n">
        <v>564</v>
      </c>
      <c r="D8" s="11" t="n">
        <v>46300.875</v>
      </c>
      <c r="E8" s="11" t="n">
        <v>46301.54166666666</v>
      </c>
      <c r="F8" s="11" t="n">
        <v>46303.54166666666</v>
      </c>
      <c r="G8" s="24">
        <f>(E8-D8)*24</f>
        <v/>
      </c>
      <c r="H8" s="24">
        <f>(F8-E8)*24</f>
        <v/>
      </c>
      <c r="I8" s="23" t="inlineStr">
        <is>
          <t>–</t>
        </is>
      </c>
      <c r="J8" s="23" t="inlineStr"/>
    </row>
    <row r="9">
      <c r="A9" s="5" t="inlineStr">
        <is>
          <t>20B</t>
        </is>
      </c>
      <c r="B9" s="5" t="inlineStr">
        <is>
          <t>GREEN PARK</t>
        </is>
      </c>
      <c r="C9" s="23" t="n">
        <v>482</v>
      </c>
      <c r="D9" s="11" t="n">
        <v>46302.45833333334</v>
      </c>
      <c r="E9" s="11" t="n">
        <v>46303.625</v>
      </c>
      <c r="F9" s="11" t="n">
        <v>46304.58333333334</v>
      </c>
      <c r="G9" s="24">
        <f>(E9-D9)*24</f>
        <v/>
      </c>
      <c r="H9" s="24">
        <f>(F9-E9)*24</f>
        <v/>
      </c>
      <c r="I9" s="23" t="inlineStr">
        <is>
          <t>–</t>
        </is>
      </c>
      <c r="J9" s="23" t="inlineStr"/>
    </row>
    <row r="10">
      <c r="A10" s="5" t="inlineStr">
        <is>
          <t>20B</t>
        </is>
      </c>
      <c r="B10" s="5" t="inlineStr">
        <is>
          <t>HE JIN</t>
        </is>
      </c>
      <c r="C10" s="23" t="n">
        <v>552</v>
      </c>
      <c r="D10" s="11" t="n">
        <v>46302.875</v>
      </c>
      <c r="E10" s="11" t="n">
        <v>46304.625</v>
      </c>
      <c r="F10" s="11" t="n">
        <v>46305.625</v>
      </c>
      <c r="G10" s="24">
        <f>(E10-D10)*24</f>
        <v/>
      </c>
      <c r="H10" s="24">
        <f>(F10-E10)*24</f>
        <v/>
      </c>
      <c r="I10" s="23" t="inlineStr">
        <is>
          <t>–</t>
        </is>
      </c>
      <c r="J10" s="23" t="inlineStr"/>
    </row>
    <row r="11">
      <c r="A11" s="5" t="inlineStr">
        <is>
          <t>20C</t>
        </is>
      </c>
      <c r="B11" s="5" t="inlineStr">
        <is>
          <t>SAWASDEE DENEB</t>
        </is>
      </c>
      <c r="C11" s="23" t="n">
        <v>564</v>
      </c>
      <c r="D11" s="11" t="n">
        <v>46300</v>
      </c>
      <c r="E11" s="11" t="n">
        <v>46300.5</v>
      </c>
      <c r="F11" s="11" t="n">
        <v>46302.45833333334</v>
      </c>
      <c r="G11" s="24">
        <f>(E11-D11)*24</f>
        <v/>
      </c>
      <c r="H11" s="24">
        <f>(F11-E11)*24</f>
        <v/>
      </c>
      <c r="I11" s="23" t="inlineStr">
        <is>
          <t>–</t>
        </is>
      </c>
      <c r="J11" s="23" t="inlineStr"/>
    </row>
    <row r="12">
      <c r="A12" s="5" t="inlineStr">
        <is>
          <t>20C</t>
        </is>
      </c>
      <c r="B12" s="5" t="inlineStr">
        <is>
          <t>JOSCO LUCKY</t>
        </is>
      </c>
      <c r="C12" s="23" t="n">
        <v>564</v>
      </c>
      <c r="D12" s="11" t="n">
        <v>46301.875</v>
      </c>
      <c r="E12" s="11" t="n">
        <v>46302.54166666666</v>
      </c>
      <c r="F12" s="11" t="n">
        <v>46303.5</v>
      </c>
      <c r="G12" s="24">
        <f>(E12-D12)*24</f>
        <v/>
      </c>
      <c r="H12" s="24">
        <f>(F12-E12)*24</f>
        <v/>
      </c>
      <c r="I12" s="23" t="inlineStr">
        <is>
          <t>–</t>
        </is>
      </c>
      <c r="J12" s="23" t="inlineStr"/>
    </row>
    <row r="13">
      <c r="A13" s="5" t="inlineStr">
        <is>
          <t>20C</t>
        </is>
      </c>
      <c r="B13" s="5" t="inlineStr">
        <is>
          <t>ZHONG GU DONG HAI</t>
        </is>
      </c>
      <c r="C13" s="23" t="n">
        <v>564</v>
      </c>
      <c r="D13" s="11" t="n">
        <v>46302.66666666666</v>
      </c>
      <c r="E13" s="11" t="n">
        <v>46303.58333333334</v>
      </c>
      <c r="F13" s="11" t="n">
        <v>46304.58333333334</v>
      </c>
      <c r="G13" s="24">
        <f>(E13-D13)*24</f>
        <v/>
      </c>
      <c r="H13" s="24">
        <f>(F13-E13)*24</f>
        <v/>
      </c>
      <c r="I13" s="23" t="inlineStr">
        <is>
          <t>–</t>
        </is>
      </c>
      <c r="J13" s="23" t="inlineStr"/>
    </row>
    <row r="14">
      <c r="A14" s="5" t="inlineStr">
        <is>
          <t>20C</t>
        </is>
      </c>
      <c r="B14" s="5" t="inlineStr">
        <is>
          <t>SAWASDEE ATLANTIC</t>
        </is>
      </c>
      <c r="C14" s="23" t="n">
        <v>564</v>
      </c>
      <c r="D14" s="11" t="n">
        <v>46302.91666666666</v>
      </c>
      <c r="E14" s="11" t="n">
        <v>46304.625</v>
      </c>
      <c r="F14" s="11" t="n">
        <v>46306.125</v>
      </c>
      <c r="G14" s="24">
        <f>(E14-D14)*24</f>
        <v/>
      </c>
      <c r="H14" s="24">
        <f>(F14-E14)*24</f>
        <v/>
      </c>
      <c r="I14" s="23" t="inlineStr">
        <is>
          <t>–</t>
        </is>
      </c>
      <c r="J14" s="23" t="inlineStr"/>
    </row>
    <row r="15">
      <c r="A15" s="5" t="inlineStr">
        <is>
          <t>20D</t>
        </is>
      </c>
      <c r="B15" s="5" t="inlineStr">
        <is>
          <t>MTT BANGKOK</t>
        </is>
      </c>
      <c r="C15" s="23" t="n">
        <v>564</v>
      </c>
      <c r="D15" s="11" t="n">
        <v>46302.5</v>
      </c>
      <c r="E15" s="11" t="n">
        <v>46302.58333333334</v>
      </c>
      <c r="F15" s="11" t="n">
        <v>46304.54166666666</v>
      </c>
      <c r="G15" s="24">
        <f>(E15-D15)*24</f>
        <v/>
      </c>
      <c r="H15" s="24">
        <f>(F15-E15)*24</f>
        <v/>
      </c>
      <c r="I15" s="23" t="inlineStr">
        <is>
          <t>–</t>
        </is>
      </c>
      <c r="J15" s="23" t="inlineStr"/>
    </row>
    <row r="16">
      <c r="A16" s="5" t="inlineStr">
        <is>
          <t>20D</t>
        </is>
      </c>
      <c r="B16" s="5" t="inlineStr">
        <is>
          <t>KANWAY FORTUNE</t>
        </is>
      </c>
      <c r="C16" s="23" t="n">
        <v>564</v>
      </c>
      <c r="D16" s="11" t="n">
        <v>46303.75</v>
      </c>
      <c r="E16" s="11" t="n">
        <v>46304.625</v>
      </c>
      <c r="F16" s="11" t="n">
        <v>46306.125</v>
      </c>
      <c r="G16" s="24">
        <f>(E16-D16)*24</f>
        <v/>
      </c>
      <c r="H16" s="24">
        <f>(F16-E16)*24</f>
        <v/>
      </c>
      <c r="I16" s="23" t="inlineStr">
        <is>
          <t>–</t>
        </is>
      </c>
      <c r="J16" s="23" t="inlineStr"/>
    </row>
    <row r="17">
      <c r="A17" s="5" t="inlineStr">
        <is>
          <t>20F</t>
        </is>
      </c>
      <c r="B17" s="5" t="inlineStr">
        <is>
          <t>XIN AN</t>
        </is>
      </c>
      <c r="C17" s="23" t="n">
        <v>564</v>
      </c>
      <c r="D17" s="11" t="n">
        <v>46302.54166666666</v>
      </c>
      <c r="E17" s="11" t="n">
        <v>46302.58333333334</v>
      </c>
      <c r="F17" s="11" t="n">
        <v>46304.54166666666</v>
      </c>
      <c r="G17" s="24">
        <f>(E17-D17)*24</f>
        <v/>
      </c>
      <c r="H17" s="24">
        <f>(F17-E17)*24</f>
        <v/>
      </c>
      <c r="I17" s="23" t="inlineStr">
        <is>
          <t>–</t>
        </is>
      </c>
      <c r="J17" s="23" t="inlineStr"/>
    </row>
    <row r="20">
      <c r="A20" s="34" t="inlineStr">
        <is>
          <t>Berth &amp; gate notices on this sheet</t>
        </is>
      </c>
    </row>
    <row r="21">
      <c r="A21" s="3" t="inlineStr">
        <is>
          <t>Berth / Gate</t>
        </is>
      </c>
      <c r="B21" s="3" t="inlineStr">
        <is>
          <t>Type</t>
        </is>
      </c>
      <c r="C21" s="3" t="n"/>
      <c r="D21" s="3" t="inlineStr">
        <is>
          <t>From</t>
        </is>
      </c>
      <c r="E21" s="3" t="inlineStr">
        <is>
          <t>To</t>
        </is>
      </c>
      <c r="F21" s="3" t="inlineStr">
        <is>
          <t>Notice / change vs previous sheet</t>
        </is>
      </c>
      <c r="G21" s="35" t="n"/>
      <c r="H21" s="35" t="n"/>
      <c r="I21" s="35" t="n"/>
      <c r="J21" s="36" t="n"/>
    </row>
    <row r="22" ht="42" customHeight="1">
      <c r="A22" s="16" t="inlineStr">
        <is>
          <t>20D</t>
        </is>
      </c>
      <c r="B22" s="16" t="inlineStr">
        <is>
          <t>Berth closed</t>
        </is>
      </c>
      <c r="C22" s="38" t="n"/>
      <c r="D22" s="18" t="n">
        <v>46299</v>
      </c>
      <c r="E22" s="18" t="n">
        <v>46319</v>
      </c>
      <c r="F22" s="16" t="inlineStr">
        <is>
          <t>Close on 4–24 Oct 2026 to renovate electric channel (MTT BANGKOK and KANWAY FORTUNE are still booked at 20D from 07/12)  —  Unchanged – conflicts with vessel bookings, please confirm</t>
        </is>
      </c>
      <c r="G22" s="38" t="n"/>
      <c r="H22" s="38" t="n"/>
      <c r="I22" s="38" t="n"/>
      <c r="J22" s="38" t="n"/>
    </row>
    <row r="23" ht="42" customHeight="1">
      <c r="A23" s="16" t="inlineStr">
        <is>
          <t>20E / G.25</t>
        </is>
      </c>
      <c r="B23" s="16" t="inlineStr">
        <is>
          <t>Gate stopped</t>
        </is>
      </c>
      <c r="C23" s="38" t="n"/>
      <c r="D23" s="18" t="n">
        <v>46300</v>
      </c>
      <c r="E23" s="18" t="n">
        <v>46313</v>
      </c>
      <c r="F23" s="16" t="inlineStr">
        <is>
          <t>G.25 stops working 5–18 Oct 2026 to change trolley rail (in progress)  —  Unchanged</t>
        </is>
      </c>
      <c r="G23" s="38" t="n"/>
      <c r="H23" s="38" t="n"/>
      <c r="I23" s="38" t="n"/>
      <c r="J23" s="38" t="n"/>
    </row>
  </sheetData>
  <mergeCells count="3">
    <mergeCell ref="F22:J22"/>
    <mergeCell ref="F23:J23"/>
    <mergeCell ref="F21:J2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26"/>
  <sheetViews>
    <sheetView workbookViewId="0">
      <pane ySplit="3" topLeftCell="A4" activePane="bottomLeft" state="frozen"/>
      <selection pane="bottomLeft" activeCell="A1" sqref="A1"/>
    </sheetView>
  </sheetViews>
  <sheetFormatPr baseColWidth="8" defaultRowHeight="15"/>
  <cols>
    <col width="10" customWidth="1" min="1" max="1"/>
    <col width="20" customWidth="1" min="2" max="2"/>
    <col width="10" customWidth="1" min="3" max="3"/>
    <col width="16" customWidth="1" min="4" max="4"/>
    <col width="16" customWidth="1" min="5" max="5"/>
    <col width="16" customWidth="1" min="6" max="6"/>
    <col width="18" customWidth="1" min="7" max="7"/>
    <col width="16" customWidth="1" min="8" max="8"/>
    <col width="10" customWidth="1" min="9" max="9"/>
    <col width="10" customWidth="1" min="10" max="10"/>
  </cols>
  <sheetData>
    <row r="1">
      <c r="A1" s="1" t="inlineStr">
        <is>
          <t>PAT Berth Window — Vessel List by Berth — Sheet dated 07 Oct 2026</t>
        </is>
      </c>
    </row>
    <row r="3">
      <c r="A3" s="3" t="inlineStr">
        <is>
          <t>Berth</t>
        </is>
      </c>
      <c r="B3" s="3" t="inlineStr">
        <is>
          <t>Vessel</t>
        </is>
      </c>
      <c r="C3" s="3" t="inlineStr">
        <is>
          <t>LOA (m)</t>
        </is>
      </c>
      <c r="D3" s="3" t="inlineStr">
        <is>
          <t>ETA</t>
        </is>
      </c>
      <c r="E3" s="3" t="inlineStr">
        <is>
          <t>P.B</t>
        </is>
      </c>
      <c r="F3" s="3" t="inlineStr">
        <is>
          <t>ETD</t>
        </is>
      </c>
      <c r="G3" s="3" t="inlineStr">
        <is>
          <t>Waiting for Berth (h)</t>
        </is>
      </c>
      <c r="H3" s="3" t="inlineStr">
        <is>
          <t>Hours Alongside</t>
        </is>
      </c>
      <c r="I3" s="3" t="inlineStr">
        <is>
          <t>Shift</t>
        </is>
      </c>
      <c r="J3" s="3" t="inlineStr">
        <is>
          <t>Marked</t>
        </is>
      </c>
    </row>
    <row r="4">
      <c r="A4" s="5" t="inlineStr">
        <is>
          <t>20AB</t>
        </is>
      </c>
      <c r="B4" s="5" t="inlineStr">
        <is>
          <t>KMTC TOKYO</t>
        </is>
      </c>
      <c r="C4" s="23" t="n">
        <v>565</v>
      </c>
      <c r="D4" s="11" t="n">
        <v>46301.54166666666</v>
      </c>
      <c r="E4" s="11" t="n">
        <v>46301.54166666666</v>
      </c>
      <c r="F4" s="11" t="n">
        <v>46303.5</v>
      </c>
      <c r="G4" s="24">
        <f>(E4-D4)*24</f>
        <v/>
      </c>
      <c r="H4" s="24">
        <f>(F4-E4)*24</f>
        <v/>
      </c>
      <c r="I4" s="23" t="inlineStr">
        <is>
          <t>–</t>
        </is>
      </c>
      <c r="J4" s="23" t="inlineStr"/>
    </row>
    <row r="5">
      <c r="A5" s="5" t="inlineStr">
        <is>
          <t>20AB</t>
        </is>
      </c>
      <c r="B5" s="5" t="inlineStr">
        <is>
          <t>GREEN PARK</t>
        </is>
      </c>
      <c r="C5" s="23" t="n">
        <v>482</v>
      </c>
      <c r="D5" s="11" t="n">
        <v>46302.45833333334</v>
      </c>
      <c r="E5" s="11" t="n">
        <v>46303.54166666666</v>
      </c>
      <c r="F5" s="11" t="n">
        <v>46304.58333333334</v>
      </c>
      <c r="G5" s="24">
        <f>(E5-D5)*24</f>
        <v/>
      </c>
      <c r="H5" s="24">
        <f>(F5-E5)*24</f>
        <v/>
      </c>
      <c r="I5" s="23" t="inlineStr">
        <is>
          <t>–</t>
        </is>
      </c>
      <c r="J5" s="23" t="inlineStr"/>
    </row>
    <row r="6">
      <c r="A6" s="5" t="inlineStr">
        <is>
          <t>20AB</t>
        </is>
      </c>
      <c r="B6" s="5" t="inlineStr">
        <is>
          <t>HE JIN</t>
        </is>
      </c>
      <c r="C6" s="23" t="n">
        <v>552</v>
      </c>
      <c r="D6" s="11" t="n">
        <v>46302.83333333334</v>
      </c>
      <c r="E6" s="11" t="n">
        <v>46304.625</v>
      </c>
      <c r="F6" s="11" t="n">
        <v>46305.625</v>
      </c>
      <c r="G6" s="24">
        <f>(E6-D6)*24</f>
        <v/>
      </c>
      <c r="H6" s="24">
        <f>(F6-E6)*24</f>
        <v/>
      </c>
      <c r="I6" s="23" t="inlineStr">
        <is>
          <t>–</t>
        </is>
      </c>
      <c r="J6" s="23" t="inlineStr"/>
    </row>
    <row r="7">
      <c r="A7" s="5" t="inlineStr">
        <is>
          <t>20AB</t>
        </is>
      </c>
      <c r="B7" s="5" t="inlineStr">
        <is>
          <t>CNC MARS</t>
        </is>
      </c>
      <c r="C7" s="23" t="n">
        <v>564</v>
      </c>
      <c r="D7" s="11" t="n">
        <v>46304.41666666666</v>
      </c>
      <c r="E7" s="11" t="n">
        <v>46305.58333333334</v>
      </c>
      <c r="F7" s="11" t="n">
        <v>46307.16666666666</v>
      </c>
      <c r="G7" s="24">
        <f>(E7-D7)*24</f>
        <v/>
      </c>
      <c r="H7" s="24">
        <f>(F7-E7)*24</f>
        <v/>
      </c>
      <c r="I7" s="23" t="inlineStr">
        <is>
          <t>–</t>
        </is>
      </c>
      <c r="J7" s="23" t="inlineStr"/>
    </row>
    <row r="8">
      <c r="A8" s="5" t="inlineStr">
        <is>
          <t>20B</t>
        </is>
      </c>
      <c r="B8" s="5" t="inlineStr">
        <is>
          <t>SAWASDEE SPICA</t>
        </is>
      </c>
      <c r="C8" s="23" t="n">
        <v>564</v>
      </c>
      <c r="D8" s="11" t="n">
        <v>46300.875</v>
      </c>
      <c r="E8" s="11" t="n">
        <v>46301.54166666666</v>
      </c>
      <c r="F8" s="11" t="n">
        <v>46303.54166666666</v>
      </c>
      <c r="G8" s="24">
        <f>(E8-D8)*24</f>
        <v/>
      </c>
      <c r="H8" s="24">
        <f>(F8-E8)*24</f>
        <v/>
      </c>
      <c r="I8" s="23" t="inlineStr">
        <is>
          <t>–</t>
        </is>
      </c>
      <c r="J8" s="23" t="inlineStr"/>
    </row>
    <row r="9">
      <c r="A9" s="5" t="inlineStr">
        <is>
          <t>20B</t>
        </is>
      </c>
      <c r="B9" s="5" t="inlineStr">
        <is>
          <t>SITC HOCHIMINH</t>
        </is>
      </c>
      <c r="C9" s="23" t="n">
        <v>470</v>
      </c>
      <c r="D9" s="11" t="n">
        <v>46302.75</v>
      </c>
      <c r="E9" s="11" t="n">
        <v>46303.58333333334</v>
      </c>
      <c r="F9" s="11" t="n">
        <v>46304.70833333334</v>
      </c>
      <c r="G9" s="24">
        <f>(E9-D9)*24</f>
        <v/>
      </c>
      <c r="H9" s="24">
        <f>(F9-E9)*24</f>
        <v/>
      </c>
      <c r="I9" s="23" t="inlineStr">
        <is>
          <t>–</t>
        </is>
      </c>
      <c r="J9" s="23" t="inlineStr"/>
    </row>
    <row r="10">
      <c r="A10" s="5" t="inlineStr">
        <is>
          <t>20B</t>
        </is>
      </c>
      <c r="B10" s="5" t="inlineStr">
        <is>
          <t>INDURO</t>
        </is>
      </c>
      <c r="C10" s="23" t="n">
        <v>565</v>
      </c>
      <c r="D10" s="11" t="n">
        <v>46304.375</v>
      </c>
      <c r="E10" s="11" t="n">
        <v>46304.625</v>
      </c>
      <c r="F10" s="11" t="n">
        <v>46306.125</v>
      </c>
      <c r="G10" s="24">
        <f>(E10-D10)*24</f>
        <v/>
      </c>
      <c r="H10" s="24">
        <f>(F10-E10)*24</f>
        <v/>
      </c>
      <c r="I10" s="23" t="inlineStr">
        <is>
          <t>–</t>
        </is>
      </c>
      <c r="J10" s="23" t="inlineStr"/>
    </row>
    <row r="11">
      <c r="A11" s="5" t="inlineStr">
        <is>
          <t>20B</t>
        </is>
      </c>
      <c r="B11" s="5" t="inlineStr">
        <is>
          <t>CUL HAIPHONG</t>
        </is>
      </c>
      <c r="C11" s="23" t="n">
        <v>458</v>
      </c>
      <c r="D11" s="11" t="n">
        <v>46304.75</v>
      </c>
      <c r="E11" s="11" t="n">
        <v>46306.20833333334</v>
      </c>
      <c r="F11" s="11" t="n">
        <v>46307.20833333334</v>
      </c>
      <c r="G11" s="24">
        <f>(E11-D11)*24</f>
        <v/>
      </c>
      <c r="H11" s="24">
        <f>(F11-E11)*24</f>
        <v/>
      </c>
      <c r="I11" s="23" t="inlineStr">
        <is>
          <t>4A</t>
        </is>
      </c>
      <c r="J11" s="23" t="inlineStr"/>
    </row>
    <row r="12">
      <c r="A12" s="5" t="inlineStr">
        <is>
          <t>20C</t>
        </is>
      </c>
      <c r="B12" s="5" t="inlineStr">
        <is>
          <t>SAWASDEE DENEB</t>
        </is>
      </c>
      <c r="C12" s="23" t="n">
        <v>564</v>
      </c>
      <c r="D12" s="11" t="n">
        <v>46300</v>
      </c>
      <c r="E12" s="11" t="n">
        <v>46300.5</v>
      </c>
      <c r="F12" s="11" t="n">
        <v>46302.45833333334</v>
      </c>
      <c r="G12" s="24">
        <f>(E12-D12)*24</f>
        <v/>
      </c>
      <c r="H12" s="24">
        <f>(F12-E12)*24</f>
        <v/>
      </c>
      <c r="I12" s="23" t="inlineStr">
        <is>
          <t>–</t>
        </is>
      </c>
      <c r="J12" s="23" t="inlineStr"/>
    </row>
    <row r="13">
      <c r="A13" s="5" t="inlineStr">
        <is>
          <t>20C</t>
        </is>
      </c>
      <c r="B13" s="5" t="inlineStr">
        <is>
          <t>JOSCO LUCKY</t>
        </is>
      </c>
      <c r="C13" s="23" t="n">
        <v>564</v>
      </c>
      <c r="D13" s="11" t="n">
        <v>46301.875</v>
      </c>
      <c r="E13" s="11" t="n">
        <v>46302.54166666666</v>
      </c>
      <c r="F13" s="11" t="n">
        <v>46303.54166666666</v>
      </c>
      <c r="G13" s="24">
        <f>(E13-D13)*24</f>
        <v/>
      </c>
      <c r="H13" s="24">
        <f>(F13-E13)*24</f>
        <v/>
      </c>
      <c r="I13" s="23" t="inlineStr">
        <is>
          <t>–</t>
        </is>
      </c>
      <c r="J13" s="23" t="inlineStr"/>
    </row>
    <row r="14">
      <c r="A14" s="5" t="inlineStr">
        <is>
          <t>20C</t>
        </is>
      </c>
      <c r="B14" s="5" t="inlineStr">
        <is>
          <t>ZHONG GU DONG HAI</t>
        </is>
      </c>
      <c r="C14" s="23" t="n">
        <v>564</v>
      </c>
      <c r="D14" s="11" t="n">
        <v>46302.54166666666</v>
      </c>
      <c r="E14" s="11" t="n">
        <v>46303.58333333334</v>
      </c>
      <c r="F14" s="11" t="n">
        <v>46304.58333333334</v>
      </c>
      <c r="G14" s="24">
        <f>(E14-D14)*24</f>
        <v/>
      </c>
      <c r="H14" s="24">
        <f>(F14-E14)*24</f>
        <v/>
      </c>
      <c r="I14" s="23" t="inlineStr">
        <is>
          <t>–</t>
        </is>
      </c>
      <c r="J14" s="23" t="inlineStr"/>
    </row>
    <row r="15">
      <c r="A15" s="5" t="inlineStr">
        <is>
          <t>20C</t>
        </is>
      </c>
      <c r="B15" s="5" t="inlineStr">
        <is>
          <t>YM INCEPTION</t>
        </is>
      </c>
      <c r="C15" s="23" t="n">
        <v>564</v>
      </c>
      <c r="D15" s="11" t="n">
        <v>46303.54166666666</v>
      </c>
      <c r="E15" s="11" t="n">
        <v>46304.54166666666</v>
      </c>
      <c r="F15" s="11" t="n">
        <v>46306.04166666666</v>
      </c>
      <c r="G15" s="24">
        <f>(E15-D15)*24</f>
        <v/>
      </c>
      <c r="H15" s="24">
        <f>(F15-E15)*24</f>
        <v/>
      </c>
      <c r="I15" s="23" t="inlineStr">
        <is>
          <t>–</t>
        </is>
      </c>
      <c r="J15" s="23" t="inlineStr"/>
    </row>
    <row r="16">
      <c r="A16" s="5" t="inlineStr">
        <is>
          <t>20D</t>
        </is>
      </c>
      <c r="B16" s="5" t="inlineStr">
        <is>
          <t>MTT BANGKOK</t>
        </is>
      </c>
      <c r="C16" s="23" t="n">
        <v>564</v>
      </c>
      <c r="D16" s="11" t="n">
        <v>46302.5</v>
      </c>
      <c r="E16" s="11" t="n">
        <v>46302.58333333334</v>
      </c>
      <c r="F16" s="11" t="n">
        <v>46304.54166666666</v>
      </c>
      <c r="G16" s="24">
        <f>(E16-D16)*24</f>
        <v/>
      </c>
      <c r="H16" s="24">
        <f>(F16-E16)*24</f>
        <v/>
      </c>
      <c r="I16" s="23" t="inlineStr">
        <is>
          <t>–</t>
        </is>
      </c>
      <c r="J16" s="23" t="inlineStr"/>
    </row>
    <row r="17">
      <c r="A17" s="5" t="inlineStr">
        <is>
          <t>20D</t>
        </is>
      </c>
      <c r="B17" s="5" t="inlineStr">
        <is>
          <t>SAWASDEE ATLANTIC</t>
        </is>
      </c>
      <c r="C17" s="23" t="n">
        <v>564</v>
      </c>
      <c r="D17" s="11" t="n">
        <v>46302.91666666666</v>
      </c>
      <c r="E17" s="11" t="n">
        <v>46304.625</v>
      </c>
      <c r="F17" s="11" t="n">
        <v>46306.125</v>
      </c>
      <c r="G17" s="24">
        <f>(E17-D17)*24</f>
        <v/>
      </c>
      <c r="H17" s="24">
        <f>(F17-E17)*24</f>
        <v/>
      </c>
      <c r="I17" s="23" t="inlineStr">
        <is>
          <t>–</t>
        </is>
      </c>
      <c r="J17" s="23" t="inlineStr"/>
    </row>
    <row r="18">
      <c r="A18" s="5" t="inlineStr">
        <is>
          <t>20F</t>
        </is>
      </c>
      <c r="B18" s="5" t="inlineStr">
        <is>
          <t>XIN AN</t>
        </is>
      </c>
      <c r="C18" s="23" t="n">
        <v>564</v>
      </c>
      <c r="D18" s="11" t="n">
        <v>46302.54166666666</v>
      </c>
      <c r="E18" s="11" t="n">
        <v>46302.58333333334</v>
      </c>
      <c r="F18" s="11" t="n">
        <v>46304.54166666666</v>
      </c>
      <c r="G18" s="24">
        <f>(E18-D18)*24</f>
        <v/>
      </c>
      <c r="H18" s="24">
        <f>(F18-E18)*24</f>
        <v/>
      </c>
      <c r="I18" s="23" t="inlineStr">
        <is>
          <t>–</t>
        </is>
      </c>
      <c r="J18" s="23" t="inlineStr"/>
    </row>
    <row r="19">
      <c r="A19" s="5" t="inlineStr">
        <is>
          <t>20F</t>
        </is>
      </c>
      <c r="B19" s="5" t="inlineStr">
        <is>
          <t>KANWAY FORTUNE</t>
        </is>
      </c>
      <c r="C19" s="23" t="n">
        <v>564</v>
      </c>
      <c r="D19" s="11" t="n">
        <v>46303.75</v>
      </c>
      <c r="E19" s="11" t="n">
        <v>46304.58333333334</v>
      </c>
      <c r="F19" s="11" t="n">
        <v>46305.625</v>
      </c>
      <c r="G19" s="24">
        <f>(E19-D19)*24</f>
        <v/>
      </c>
      <c r="H19" s="24">
        <f>(F19-E19)*24</f>
        <v/>
      </c>
      <c r="I19" s="23" t="inlineStr">
        <is>
          <t>–</t>
        </is>
      </c>
      <c r="J19" s="23" t="inlineStr"/>
    </row>
    <row r="20">
      <c r="A20" s="5" t="inlineStr">
        <is>
          <t>20F</t>
        </is>
      </c>
      <c r="B20" s="5" t="inlineStr">
        <is>
          <t>XIN MING ZHOU 102</t>
        </is>
      </c>
      <c r="C20" s="23" t="n">
        <v>564</v>
      </c>
      <c r="D20" s="11" t="n">
        <v>46304.54166666666</v>
      </c>
      <c r="E20" s="11" t="n">
        <v>46305.58333333334</v>
      </c>
      <c r="F20" s="11" t="n">
        <v>46306.125</v>
      </c>
      <c r="G20" s="24">
        <f>(E20-D20)*24</f>
        <v/>
      </c>
      <c r="H20" s="24">
        <f>(F20-E20)*24</f>
        <v/>
      </c>
      <c r="I20" s="23" t="inlineStr">
        <is>
          <t>–</t>
        </is>
      </c>
      <c r="J20" s="23" t="inlineStr"/>
    </row>
    <row r="23">
      <c r="A23" s="34" t="inlineStr">
        <is>
          <t>Berth &amp; gate notices on this sheet</t>
        </is>
      </c>
    </row>
    <row r="24">
      <c r="A24" s="3" t="inlineStr">
        <is>
          <t>Berth / Gate</t>
        </is>
      </c>
      <c r="B24" s="3" t="inlineStr">
        <is>
          <t>Type</t>
        </is>
      </c>
      <c r="C24" s="3" t="n"/>
      <c r="D24" s="3" t="inlineStr">
        <is>
          <t>From</t>
        </is>
      </c>
      <c r="E24" s="3" t="inlineStr">
        <is>
          <t>To</t>
        </is>
      </c>
      <c r="F24" s="3" t="inlineStr">
        <is>
          <t>Notice / change vs previous sheet</t>
        </is>
      </c>
      <c r="G24" s="35" t="n"/>
      <c r="H24" s="35" t="n"/>
      <c r="I24" s="35" t="n"/>
      <c r="J24" s="36" t="n"/>
    </row>
    <row r="25" ht="42" customHeight="1">
      <c r="A25" s="16" t="inlineStr">
        <is>
          <t>20D</t>
        </is>
      </c>
      <c r="B25" s="16" t="inlineStr">
        <is>
          <t>Berth closed</t>
        </is>
      </c>
      <c r="C25" s="38" t="n"/>
      <c r="D25" s="18" t="n">
        <v>46299</v>
      </c>
      <c r="E25" s="18" t="n">
        <v>46319</v>
      </c>
      <c r="F25" s="16" t="inlineStr">
        <is>
          <t>Close on 4–24 Oct 2026 to renovate electric channel (MTT BANGKOK and SAWASDEE ATLANTIC are still booked at 20D)  —  Unchanged – conflicts with vessel bookings, please confirm</t>
        </is>
      </c>
      <c r="G25" s="38" t="n"/>
      <c r="H25" s="38" t="n"/>
      <c r="I25" s="38" t="n"/>
      <c r="J25" s="38" t="n"/>
    </row>
    <row r="26" ht="42" customHeight="1">
      <c r="A26" s="16" t="inlineStr">
        <is>
          <t>20E / G.25</t>
        </is>
      </c>
      <c r="B26" s="16" t="inlineStr">
        <is>
          <t>Gate stopped</t>
        </is>
      </c>
      <c r="C26" s="38" t="n"/>
      <c r="D26" s="18" t="n">
        <v>46300</v>
      </c>
      <c r="E26" s="18" t="n">
        <v>46313</v>
      </c>
      <c r="F26" s="16" t="inlineStr">
        <is>
          <t>G.25 stops working 5–18 Oct 2026 to change trolley rail (in progress)  —  Unchanged</t>
        </is>
      </c>
      <c r="G26" s="38" t="n"/>
      <c r="H26" s="38" t="n"/>
      <c r="I26" s="38" t="n"/>
      <c r="J26" s="38" t="n"/>
    </row>
  </sheetData>
  <mergeCells count="3">
    <mergeCell ref="F24:J24"/>
    <mergeCell ref="F25:J25"/>
    <mergeCell ref="F26:J26"/>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28"/>
  <sheetViews>
    <sheetView workbookViewId="0">
      <pane ySplit="3" topLeftCell="A4" activePane="bottomLeft" state="frozen"/>
      <selection pane="bottomLeft" activeCell="A1" sqref="A1"/>
    </sheetView>
  </sheetViews>
  <sheetFormatPr baseColWidth="8" defaultRowHeight="15"/>
  <cols>
    <col width="10" customWidth="1" min="1" max="1"/>
    <col width="20" customWidth="1" min="2" max="2"/>
    <col width="10" customWidth="1" min="3" max="3"/>
    <col width="16" customWidth="1" min="4" max="4"/>
    <col width="16" customWidth="1" min="5" max="5"/>
    <col width="16" customWidth="1" min="6" max="6"/>
    <col width="18" customWidth="1" min="7" max="7"/>
    <col width="16" customWidth="1" min="8" max="8"/>
    <col width="10" customWidth="1" min="9" max="9"/>
    <col width="10" customWidth="1" min="10" max="10"/>
  </cols>
  <sheetData>
    <row r="1">
      <c r="A1" s="1" t="inlineStr">
        <is>
          <t>PAT Berth Window — Vessel List by Berth — Sheet dated 08 Oct 2026</t>
        </is>
      </c>
    </row>
    <row r="3">
      <c r="A3" s="3" t="inlineStr">
        <is>
          <t>Berth</t>
        </is>
      </c>
      <c r="B3" s="3" t="inlineStr">
        <is>
          <t>Vessel</t>
        </is>
      </c>
      <c r="C3" s="3" t="inlineStr">
        <is>
          <t>LOA (m)</t>
        </is>
      </c>
      <c r="D3" s="3" t="inlineStr">
        <is>
          <t>ETA</t>
        </is>
      </c>
      <c r="E3" s="3" t="inlineStr">
        <is>
          <t>P.B</t>
        </is>
      </c>
      <c r="F3" s="3" t="inlineStr">
        <is>
          <t>ETD</t>
        </is>
      </c>
      <c r="G3" s="3" t="inlineStr">
        <is>
          <t>Waiting for Berth (h)</t>
        </is>
      </c>
      <c r="H3" s="3" t="inlineStr">
        <is>
          <t>Hours Alongside</t>
        </is>
      </c>
      <c r="I3" s="3" t="inlineStr">
        <is>
          <t>Shift</t>
        </is>
      </c>
      <c r="J3" s="3" t="inlineStr">
        <is>
          <t>Marked</t>
        </is>
      </c>
    </row>
    <row r="4">
      <c r="A4" s="5" t="inlineStr">
        <is>
          <t>20AB</t>
        </is>
      </c>
      <c r="B4" s="5" t="inlineStr">
        <is>
          <t>KMTC TOKYO</t>
        </is>
      </c>
      <c r="C4" s="23" t="n">
        <v>565</v>
      </c>
      <c r="D4" s="11" t="n">
        <v>46301.54166666666</v>
      </c>
      <c r="E4" s="11" t="n">
        <v>46301.54166666666</v>
      </c>
      <c r="F4" s="11" t="n">
        <v>46303.5</v>
      </c>
      <c r="G4" s="24">
        <f>(E4-D4)*24</f>
        <v/>
      </c>
      <c r="H4" s="24">
        <f>(F4-E4)*24</f>
        <v/>
      </c>
      <c r="I4" s="23" t="inlineStr">
        <is>
          <t>–</t>
        </is>
      </c>
      <c r="J4" s="23" t="inlineStr"/>
    </row>
    <row r="5">
      <c r="A5" s="5" t="inlineStr">
        <is>
          <t>20AB</t>
        </is>
      </c>
      <c r="B5" s="5" t="inlineStr">
        <is>
          <t>GREEN PARK</t>
        </is>
      </c>
      <c r="C5" s="23" t="n">
        <v>482</v>
      </c>
      <c r="D5" s="11" t="n">
        <v>46302.41666666666</v>
      </c>
      <c r="E5" s="11" t="n">
        <v>46303.54166666666</v>
      </c>
      <c r="F5" s="11" t="n">
        <v>46304.58333333334</v>
      </c>
      <c r="G5" s="24">
        <f>(E5-D5)*24</f>
        <v/>
      </c>
      <c r="H5" s="24">
        <f>(F5-E5)*24</f>
        <v/>
      </c>
      <c r="I5" s="23" t="inlineStr">
        <is>
          <t>–</t>
        </is>
      </c>
      <c r="J5" s="23" t="inlineStr"/>
    </row>
    <row r="6">
      <c r="A6" s="5" t="inlineStr">
        <is>
          <t>20AB</t>
        </is>
      </c>
      <c r="B6" s="5" t="inlineStr">
        <is>
          <t>KANWAY FORTUNE</t>
        </is>
      </c>
      <c r="C6" s="23" t="n">
        <v>564</v>
      </c>
      <c r="D6" s="11" t="n">
        <v>46303.75</v>
      </c>
      <c r="E6" s="11" t="n">
        <v>46304.58333333334</v>
      </c>
      <c r="F6" s="11" t="n">
        <v>46305.625</v>
      </c>
      <c r="G6" s="24">
        <f>(E6-D6)*24</f>
        <v/>
      </c>
      <c r="H6" s="24">
        <f>(F6-E6)*24</f>
        <v/>
      </c>
      <c r="I6" s="23" t="inlineStr">
        <is>
          <t>–</t>
        </is>
      </c>
      <c r="J6" s="23" t="inlineStr"/>
    </row>
    <row r="7">
      <c r="A7" s="5" t="inlineStr">
        <is>
          <t>20AB</t>
        </is>
      </c>
      <c r="B7" s="5" t="inlineStr">
        <is>
          <t>CNC MARS</t>
        </is>
      </c>
      <c r="C7" s="23" t="n">
        <v>564</v>
      </c>
      <c r="D7" s="11" t="n">
        <v>46304.91666666666</v>
      </c>
      <c r="E7" s="11" t="n">
        <v>46305.625</v>
      </c>
      <c r="F7" s="11" t="n">
        <v>46306.625</v>
      </c>
      <c r="G7" s="24">
        <f>(E7-D7)*24</f>
        <v/>
      </c>
      <c r="H7" s="24">
        <f>(F7-E7)*24</f>
        <v/>
      </c>
      <c r="I7" s="23" t="inlineStr">
        <is>
          <t>–</t>
        </is>
      </c>
      <c r="J7" s="23" t="inlineStr"/>
    </row>
    <row r="8">
      <c r="A8" s="5" t="inlineStr">
        <is>
          <t>20B</t>
        </is>
      </c>
      <c r="B8" s="5" t="inlineStr">
        <is>
          <t>SAWASDEE SPICA</t>
        </is>
      </c>
      <c r="C8" s="23" t="n">
        <v>564</v>
      </c>
      <c r="D8" s="11" t="n">
        <v>46300.875</v>
      </c>
      <c r="E8" s="11" t="n">
        <v>46301.54166666666</v>
      </c>
      <c r="F8" s="11" t="n">
        <v>46303.54166666666</v>
      </c>
      <c r="G8" s="24">
        <f>(E8-D8)*24</f>
        <v/>
      </c>
      <c r="H8" s="24">
        <f>(F8-E8)*24</f>
        <v/>
      </c>
      <c r="I8" s="23" t="inlineStr">
        <is>
          <t>–</t>
        </is>
      </c>
      <c r="J8" s="23" t="inlineStr"/>
    </row>
    <row r="9">
      <c r="A9" s="5" t="inlineStr">
        <is>
          <t>20B</t>
        </is>
      </c>
      <c r="B9" s="5" t="inlineStr">
        <is>
          <t>SITC HOCHIMINH</t>
        </is>
      </c>
      <c r="C9" s="23" t="n">
        <v>470</v>
      </c>
      <c r="D9" s="11" t="n">
        <v>46302.625</v>
      </c>
      <c r="E9" s="11" t="n">
        <v>46303.58333333334</v>
      </c>
      <c r="F9" s="11" t="n">
        <v>46304.70833333334</v>
      </c>
      <c r="G9" s="24">
        <f>(E9-D9)*24</f>
        <v/>
      </c>
      <c r="H9" s="24">
        <f>(F9-E9)*24</f>
        <v/>
      </c>
      <c r="I9" s="23" t="inlineStr">
        <is>
          <t>–</t>
        </is>
      </c>
      <c r="J9" s="23" t="inlineStr"/>
    </row>
    <row r="10">
      <c r="A10" s="5" t="inlineStr">
        <is>
          <t>20B</t>
        </is>
      </c>
      <c r="B10" s="5" t="inlineStr">
        <is>
          <t>INDURO</t>
        </is>
      </c>
      <c r="C10" s="23" t="n">
        <v>565</v>
      </c>
      <c r="D10" s="11" t="n">
        <v>46304.375</v>
      </c>
      <c r="E10" s="11" t="n">
        <v>46304.66666666666</v>
      </c>
      <c r="F10" s="11" t="n">
        <v>46306.58333333334</v>
      </c>
      <c r="G10" s="24">
        <f>(E10-D10)*24</f>
        <v/>
      </c>
      <c r="H10" s="24">
        <f>(F10-E10)*24</f>
        <v/>
      </c>
      <c r="I10" s="23" t="inlineStr">
        <is>
          <t>–</t>
        </is>
      </c>
      <c r="J10" s="23" t="inlineStr"/>
    </row>
    <row r="11">
      <c r="A11" s="5" t="inlineStr">
        <is>
          <t>20C</t>
        </is>
      </c>
      <c r="B11" s="5" t="inlineStr">
        <is>
          <t>JOSCO LUCKY</t>
        </is>
      </c>
      <c r="C11" s="23" t="n">
        <v>564</v>
      </c>
      <c r="D11" s="11" t="n">
        <v>46301.875</v>
      </c>
      <c r="E11" s="11" t="n">
        <v>46302.54166666666</v>
      </c>
      <c r="F11" s="11" t="n">
        <v>46303.54166666666</v>
      </c>
      <c r="G11" s="24">
        <f>(E11-D11)*24</f>
        <v/>
      </c>
      <c r="H11" s="24">
        <f>(F11-E11)*24</f>
        <v/>
      </c>
      <c r="I11" s="23" t="inlineStr">
        <is>
          <t>–</t>
        </is>
      </c>
      <c r="J11" s="23" t="inlineStr"/>
    </row>
    <row r="12">
      <c r="A12" s="5" t="inlineStr">
        <is>
          <t>20C</t>
        </is>
      </c>
      <c r="B12" s="5" t="inlineStr">
        <is>
          <t>ZHONG GU DONG HAI</t>
        </is>
      </c>
      <c r="C12" s="23" t="n">
        <v>564</v>
      </c>
      <c r="D12" s="11" t="n">
        <v>46302.58333333334</v>
      </c>
      <c r="E12" s="11" t="n">
        <v>46303.58333333334</v>
      </c>
      <c r="F12" s="11" t="n">
        <v>46304.58333333334</v>
      </c>
      <c r="G12" s="24">
        <f>(E12-D12)*24</f>
        <v/>
      </c>
      <c r="H12" s="24">
        <f>(F12-E12)*24</f>
        <v/>
      </c>
      <c r="I12" s="23" t="inlineStr">
        <is>
          <t>–</t>
        </is>
      </c>
      <c r="J12" s="23" t="inlineStr"/>
    </row>
    <row r="13">
      <c r="A13" s="5" t="inlineStr">
        <is>
          <t>20C</t>
        </is>
      </c>
      <c r="B13" s="5" t="inlineStr">
        <is>
          <t>YM INCEPTION</t>
        </is>
      </c>
      <c r="C13" s="23" t="n">
        <v>564</v>
      </c>
      <c r="D13" s="11" t="n">
        <v>46303.54166666666</v>
      </c>
      <c r="E13" s="11" t="n">
        <v>46304.54166666666</v>
      </c>
      <c r="F13" s="11" t="n">
        <v>46306.04166666666</v>
      </c>
      <c r="G13" s="24">
        <f>(E13-D13)*24</f>
        <v/>
      </c>
      <c r="H13" s="24">
        <f>(F13-E13)*24</f>
        <v/>
      </c>
      <c r="I13" s="23" t="inlineStr">
        <is>
          <t>–</t>
        </is>
      </c>
      <c r="J13" s="23" t="inlineStr"/>
    </row>
    <row r="14">
      <c r="A14" s="5" t="inlineStr">
        <is>
          <t>20C</t>
        </is>
      </c>
      <c r="B14" s="5" t="inlineStr">
        <is>
          <t>STARSHIP AQUILA</t>
        </is>
      </c>
      <c r="C14" s="23" t="n">
        <v>565</v>
      </c>
      <c r="D14" s="11" t="n">
        <v>46304.91666666666</v>
      </c>
      <c r="E14" s="11" t="n">
        <v>46306.16666666666</v>
      </c>
      <c r="F14" s="11" t="n">
        <v>46307.54166666666</v>
      </c>
      <c r="G14" s="24">
        <f>(E14-D14)*24</f>
        <v/>
      </c>
      <c r="H14" s="24">
        <f>(F14-E14)*24</f>
        <v/>
      </c>
      <c r="I14" s="23" t="inlineStr">
        <is>
          <t>–</t>
        </is>
      </c>
      <c r="J14" s="23" t="inlineStr"/>
    </row>
    <row r="15">
      <c r="A15" s="5" t="inlineStr">
        <is>
          <t>20D</t>
        </is>
      </c>
      <c r="B15" s="5" t="inlineStr">
        <is>
          <t>MTT BANGKOK</t>
        </is>
      </c>
      <c r="C15" s="23" t="n">
        <v>564</v>
      </c>
      <c r="D15" s="11" t="n">
        <v>46302.54166666666</v>
      </c>
      <c r="E15" s="11" t="n">
        <v>46302.58333333334</v>
      </c>
      <c r="F15" s="11" t="n">
        <v>46304.08333333334</v>
      </c>
      <c r="G15" s="24">
        <f>(E15-D15)*24</f>
        <v/>
      </c>
      <c r="H15" s="24">
        <f>(F15-E15)*24</f>
        <v/>
      </c>
      <c r="I15" s="23" t="inlineStr">
        <is>
          <t>–</t>
        </is>
      </c>
      <c r="J15" s="23" t="inlineStr"/>
    </row>
    <row r="16">
      <c r="A16" s="5" t="inlineStr">
        <is>
          <t>20D</t>
        </is>
      </c>
      <c r="B16" s="5" t="inlineStr">
        <is>
          <t>HE JIN</t>
        </is>
      </c>
      <c r="C16" s="23" t="n">
        <v>552</v>
      </c>
      <c r="D16" s="11" t="n">
        <v>46304.08333333334</v>
      </c>
      <c r="E16" s="11" t="n">
        <v>46304.08333333334</v>
      </c>
      <c r="F16" s="11" t="n">
        <v>46305.54166666666</v>
      </c>
      <c r="G16" s="24">
        <f>(E16-D16)*24</f>
        <v/>
      </c>
      <c r="H16" s="24">
        <f>(F16-E16)*24</f>
        <v/>
      </c>
      <c r="I16" s="23" t="inlineStr">
        <is>
          <t>–</t>
        </is>
      </c>
      <c r="J16" s="23" t="inlineStr"/>
    </row>
    <row r="17">
      <c r="A17" s="5" t="inlineStr">
        <is>
          <t>20D</t>
        </is>
      </c>
      <c r="B17" s="5" t="inlineStr">
        <is>
          <t>CUL HAIPHONG</t>
        </is>
      </c>
      <c r="C17" s="23" t="n">
        <v>458</v>
      </c>
      <c r="D17" s="11" t="n">
        <v>46304.83333333334</v>
      </c>
      <c r="E17" s="11" t="n">
        <v>46305.66666666666</v>
      </c>
      <c r="F17" s="11" t="n">
        <v>46306.25</v>
      </c>
      <c r="G17" s="24">
        <f>(E17-D17)*24</f>
        <v/>
      </c>
      <c r="H17" s="24">
        <f>(F17-E17)*24</f>
        <v/>
      </c>
      <c r="I17" s="23" t="inlineStr">
        <is>
          <t>4A</t>
        </is>
      </c>
      <c r="J17" s="23" t="inlineStr"/>
    </row>
    <row r="18">
      <c r="A18" s="5" t="inlineStr">
        <is>
          <t>20D</t>
        </is>
      </c>
      <c r="B18" s="5" t="inlineStr">
        <is>
          <t>INCEDA</t>
        </is>
      </c>
      <c r="C18" s="23" t="n">
        <v>564</v>
      </c>
      <c r="D18" s="11" t="n">
        <v>46305.70833333334</v>
      </c>
      <c r="E18" s="11" t="n">
        <v>46306.20833333334</v>
      </c>
      <c r="F18" s="11" t="n">
        <v>46307.58333333334</v>
      </c>
      <c r="G18" s="24">
        <f>(E18-D18)*24</f>
        <v/>
      </c>
      <c r="H18" s="24">
        <f>(F18-E18)*24</f>
        <v/>
      </c>
      <c r="I18" s="23" t="inlineStr">
        <is>
          <t>–</t>
        </is>
      </c>
      <c r="J18" s="23" t="inlineStr"/>
    </row>
    <row r="19">
      <c r="A19" s="5" t="inlineStr">
        <is>
          <t>20F</t>
        </is>
      </c>
      <c r="B19" s="5" t="inlineStr">
        <is>
          <t>XIN AN</t>
        </is>
      </c>
      <c r="C19" s="23" t="n">
        <v>564</v>
      </c>
      <c r="D19" s="11" t="n">
        <v>46302.54166666666</v>
      </c>
      <c r="E19" s="11" t="n">
        <v>46302.58333333334</v>
      </c>
      <c r="F19" s="11" t="n">
        <v>46304.54166666666</v>
      </c>
      <c r="G19" s="24">
        <f>(E19-D19)*24</f>
        <v/>
      </c>
      <c r="H19" s="24">
        <f>(F19-E19)*24</f>
        <v/>
      </c>
      <c r="I19" s="23" t="inlineStr">
        <is>
          <t>–</t>
        </is>
      </c>
      <c r="J19" s="23" t="inlineStr"/>
    </row>
    <row r="20">
      <c r="A20" s="5" t="inlineStr">
        <is>
          <t>20F</t>
        </is>
      </c>
      <c r="B20" s="5" t="inlineStr">
        <is>
          <t>SAWASDEE ATLANTIC</t>
        </is>
      </c>
      <c r="C20" s="23" t="n">
        <v>564</v>
      </c>
      <c r="D20" s="11" t="n">
        <v>46302.83333333334</v>
      </c>
      <c r="E20" s="11" t="n">
        <v>46304.625</v>
      </c>
      <c r="F20" s="11" t="n">
        <v>46306.125</v>
      </c>
      <c r="G20" s="24">
        <f>(E20-D20)*24</f>
        <v/>
      </c>
      <c r="H20" s="24">
        <f>(F20-E20)*24</f>
        <v/>
      </c>
      <c r="I20" s="23" t="inlineStr">
        <is>
          <t>–</t>
        </is>
      </c>
      <c r="J20" s="23" t="inlineStr"/>
    </row>
    <row r="21">
      <c r="A21" s="5" t="inlineStr">
        <is>
          <t>20F</t>
        </is>
      </c>
      <c r="B21" s="5" t="inlineStr">
        <is>
          <t>XIN MING ZHOU 102</t>
        </is>
      </c>
      <c r="C21" s="23" t="n">
        <v>564</v>
      </c>
      <c r="D21" s="11" t="n">
        <v>46305.875</v>
      </c>
      <c r="E21" s="11" t="n">
        <v>46306.20833333334</v>
      </c>
      <c r="F21" s="11" t="n">
        <v>46307.08333333334</v>
      </c>
      <c r="G21" s="24">
        <f>(E21-D21)*24</f>
        <v/>
      </c>
      <c r="H21" s="24">
        <f>(F21-E21)*24</f>
        <v/>
      </c>
      <c r="I21" s="23" t="inlineStr">
        <is>
          <t>–</t>
        </is>
      </c>
      <c r="J21" s="23" t="inlineStr"/>
    </row>
    <row r="22">
      <c r="A22" s="5" t="inlineStr">
        <is>
          <t>22A</t>
        </is>
      </c>
      <c r="B22" s="5" t="inlineStr">
        <is>
          <t>HE JIN</t>
        </is>
      </c>
      <c r="C22" s="23" t="n">
        <v>552</v>
      </c>
      <c r="D22" s="11" t="n">
        <v>46302.79166666666</v>
      </c>
      <c r="E22" s="11" t="n">
        <v>46303.66666666666</v>
      </c>
      <c r="F22" s="11" t="n">
        <v>46304.08333333334</v>
      </c>
      <c r="G22" s="24">
        <f>(E22-D22)*24</f>
        <v/>
      </c>
      <c r="H22" s="24">
        <f>(F22-E22)*24</f>
        <v/>
      </c>
      <c r="I22" s="23" t="inlineStr">
        <is>
          <t>20D</t>
        </is>
      </c>
      <c r="J22" s="23" t="inlineStr"/>
    </row>
    <row r="25">
      <c r="A25" s="34" t="inlineStr">
        <is>
          <t>Berth &amp; gate notices on this sheet</t>
        </is>
      </c>
    </row>
    <row r="26">
      <c r="A26" s="3" t="inlineStr">
        <is>
          <t>Berth / Gate</t>
        </is>
      </c>
      <c r="B26" s="3" t="inlineStr">
        <is>
          <t>Type</t>
        </is>
      </c>
      <c r="C26" s="3" t="n"/>
      <c r="D26" s="3" t="inlineStr">
        <is>
          <t>From</t>
        </is>
      </c>
      <c r="E26" s="3" t="inlineStr">
        <is>
          <t>To</t>
        </is>
      </c>
      <c r="F26" s="3" t="inlineStr">
        <is>
          <t>Notice / change vs previous sheet</t>
        </is>
      </c>
      <c r="G26" s="35" t="n"/>
      <c r="H26" s="35" t="n"/>
      <c r="I26" s="35" t="n"/>
      <c r="J26" s="36" t="n"/>
    </row>
    <row r="27" ht="42" customHeight="1">
      <c r="A27" s="16" t="inlineStr">
        <is>
          <t>20D</t>
        </is>
      </c>
      <c r="B27" s="16" t="inlineStr">
        <is>
          <t>Berth closed</t>
        </is>
      </c>
      <c r="C27" s="38" t="n"/>
      <c r="D27" s="18" t="n">
        <v>46299</v>
      </c>
      <c r="E27" s="18" t="n">
        <v>46319</v>
      </c>
      <c r="F27" s="16" t="inlineStr">
        <is>
          <t>Close on 4–24 Oct 2026 to renovate electric channel (MTT BANGKOK has been alongside at 20D since 07/14, HE JIN shifts in on 09/02)  —  Unchanged – conflicts with vessel bookings, please confirm</t>
        </is>
      </c>
      <c r="G27" s="38" t="n"/>
      <c r="H27" s="38" t="n"/>
      <c r="I27" s="38" t="n"/>
      <c r="J27" s="38" t="n"/>
    </row>
    <row r="28" ht="42" customHeight="1">
      <c r="A28" s="16" t="inlineStr">
        <is>
          <t>20E / G.25</t>
        </is>
      </c>
      <c r="B28" s="16" t="inlineStr">
        <is>
          <t>Gate stopped</t>
        </is>
      </c>
      <c r="C28" s="38" t="n"/>
      <c r="D28" s="18" t="n">
        <v>46300</v>
      </c>
      <c r="E28" s="18" t="n">
        <v>46313</v>
      </c>
      <c r="F28" s="16" t="inlineStr">
        <is>
          <t>G.25 stops working 5–18 Oct 2026 to change trolley rail (in progress)  —  Unchanged</t>
        </is>
      </c>
      <c r="G28" s="38" t="n"/>
      <c r="H28" s="38" t="n"/>
      <c r="I28" s="38" t="n"/>
      <c r="J28" s="38" t="n"/>
    </row>
  </sheetData>
  <mergeCells count="3">
    <mergeCell ref="F28:J28"/>
    <mergeCell ref="F26:J26"/>
    <mergeCell ref="F27:J27"/>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28"/>
  <sheetViews>
    <sheetView workbookViewId="0">
      <pane ySplit="3" topLeftCell="A4" activePane="bottomLeft" state="frozen"/>
      <selection pane="bottomLeft" activeCell="A1" sqref="A1"/>
    </sheetView>
  </sheetViews>
  <sheetFormatPr baseColWidth="8" defaultRowHeight="15"/>
  <cols>
    <col width="10" customWidth="1" min="1" max="1"/>
    <col width="20" customWidth="1" min="2" max="2"/>
    <col width="10" customWidth="1" min="3" max="3"/>
    <col width="16" customWidth="1" min="4" max="4"/>
    <col width="16" customWidth="1" min="5" max="5"/>
    <col width="16" customWidth="1" min="6" max="6"/>
    <col width="18" customWidth="1" min="7" max="7"/>
    <col width="16" customWidth="1" min="8" max="8"/>
    <col width="10" customWidth="1" min="9" max="9"/>
    <col width="10" customWidth="1" min="10" max="10"/>
  </cols>
  <sheetData>
    <row r="1">
      <c r="A1" s="1" t="inlineStr">
        <is>
          <t>PAT Berth Window — Vessel List by Berth — Sheet dated 09 Oct 2026</t>
        </is>
      </c>
    </row>
    <row r="3">
      <c r="A3" s="3" t="inlineStr">
        <is>
          <t>Berth</t>
        </is>
      </c>
      <c r="B3" s="3" t="inlineStr">
        <is>
          <t>Vessel</t>
        </is>
      </c>
      <c r="C3" s="3" t="inlineStr">
        <is>
          <t>LOA (m)</t>
        </is>
      </c>
      <c r="D3" s="3" t="inlineStr">
        <is>
          <t>ETA</t>
        </is>
      </c>
      <c r="E3" s="3" t="inlineStr">
        <is>
          <t>P.B</t>
        </is>
      </c>
      <c r="F3" s="3" t="inlineStr">
        <is>
          <t>ETD</t>
        </is>
      </c>
      <c r="G3" s="3" t="inlineStr">
        <is>
          <t>Waiting for Berth (h)</t>
        </is>
      </c>
      <c r="H3" s="3" t="inlineStr">
        <is>
          <t>Hours Alongside</t>
        </is>
      </c>
      <c r="I3" s="3" t="inlineStr">
        <is>
          <t>Shift</t>
        </is>
      </c>
      <c r="J3" s="3" t="inlineStr">
        <is>
          <t>Marked</t>
        </is>
      </c>
    </row>
    <row r="4">
      <c r="A4" s="5" t="inlineStr">
        <is>
          <t>20AB</t>
        </is>
      </c>
      <c r="B4" s="5" t="inlineStr">
        <is>
          <t>GREEN PARK</t>
        </is>
      </c>
      <c r="C4" s="23" t="n">
        <v>482</v>
      </c>
      <c r="D4" s="11" t="n">
        <v>46302.41666666666</v>
      </c>
      <c r="E4" s="11" t="n">
        <v>46303.58333333334</v>
      </c>
      <c r="F4" s="11" t="n">
        <v>46304.66666666666</v>
      </c>
      <c r="G4" s="24">
        <f>(E4-D4)*24</f>
        <v/>
      </c>
      <c r="H4" s="24">
        <f>(F4-E4)*24</f>
        <v/>
      </c>
      <c r="I4" s="23" t="inlineStr">
        <is>
          <t>–</t>
        </is>
      </c>
      <c r="J4" s="23" t="inlineStr"/>
    </row>
    <row r="5">
      <c r="A5" s="5" t="inlineStr">
        <is>
          <t>20AB</t>
        </is>
      </c>
      <c r="B5" s="5" t="inlineStr">
        <is>
          <t>KANWAY FORTUNE</t>
        </is>
      </c>
      <c r="C5" s="23" t="n">
        <v>564</v>
      </c>
      <c r="D5" s="11" t="n">
        <v>46303.66666666666</v>
      </c>
      <c r="E5" s="11" t="n">
        <v>46304.58333333334</v>
      </c>
      <c r="F5" s="11" t="n">
        <v>46305.625</v>
      </c>
      <c r="G5" s="24">
        <f>(E5-D5)*24</f>
        <v/>
      </c>
      <c r="H5" s="24">
        <f>(F5-E5)*24</f>
        <v/>
      </c>
      <c r="I5" s="23" t="inlineStr">
        <is>
          <t>–</t>
        </is>
      </c>
      <c r="J5" s="23" t="inlineStr"/>
    </row>
    <row r="6">
      <c r="A6" s="5" t="inlineStr">
        <is>
          <t>20AB</t>
        </is>
      </c>
      <c r="B6" s="5" t="inlineStr">
        <is>
          <t>CNC MARS</t>
        </is>
      </c>
      <c r="C6" s="23" t="n">
        <v>564</v>
      </c>
      <c r="D6" s="11" t="n">
        <v>46304.91666666666</v>
      </c>
      <c r="E6" s="11" t="n">
        <v>46305.625</v>
      </c>
      <c r="F6" s="11" t="n">
        <v>46306.625</v>
      </c>
      <c r="G6" s="24">
        <f>(E6-D6)*24</f>
        <v/>
      </c>
      <c r="H6" s="24">
        <f>(F6-E6)*24</f>
        <v/>
      </c>
      <c r="I6" s="23" t="inlineStr">
        <is>
          <t>–</t>
        </is>
      </c>
      <c r="J6" s="23" t="inlineStr"/>
    </row>
    <row r="7">
      <c r="A7" s="5" t="inlineStr">
        <is>
          <t>20AB</t>
        </is>
      </c>
      <c r="B7" s="5" t="inlineStr">
        <is>
          <t>SAMAL</t>
        </is>
      </c>
      <c r="C7" s="23" t="n">
        <v>564</v>
      </c>
      <c r="D7" s="11" t="n">
        <v>46307.16666666666</v>
      </c>
      <c r="E7" s="11" t="n">
        <v>46307.20833333334</v>
      </c>
      <c r="F7" s="11" t="n">
        <v>46308.58333333334</v>
      </c>
      <c r="G7" s="24">
        <f>(E7-D7)*24</f>
        <v/>
      </c>
      <c r="H7" s="24">
        <f>(F7-E7)*24</f>
        <v/>
      </c>
      <c r="I7" s="23" t="inlineStr">
        <is>
          <t>–</t>
        </is>
      </c>
      <c r="J7" s="23" t="inlineStr"/>
    </row>
    <row r="8">
      <c r="A8" s="5" t="inlineStr">
        <is>
          <t>20B</t>
        </is>
      </c>
      <c r="B8" s="5" t="inlineStr">
        <is>
          <t>SITC HOCHIMINH</t>
        </is>
      </c>
      <c r="C8" s="23" t="n">
        <v>470</v>
      </c>
      <c r="D8" s="11" t="n">
        <v>46302.625</v>
      </c>
      <c r="E8" s="11" t="n">
        <v>46303.58333333334</v>
      </c>
      <c r="F8" s="11" t="n">
        <v>46304.70833333334</v>
      </c>
      <c r="G8" s="24">
        <f>(E8-D8)*24</f>
        <v/>
      </c>
      <c r="H8" s="24">
        <f>(F8-E8)*24</f>
        <v/>
      </c>
      <c r="I8" s="23" t="inlineStr">
        <is>
          <t>–</t>
        </is>
      </c>
      <c r="J8" s="23" t="inlineStr"/>
    </row>
    <row r="9">
      <c r="A9" s="5" t="inlineStr">
        <is>
          <t>20B</t>
        </is>
      </c>
      <c r="B9" s="5" t="inlineStr">
        <is>
          <t>INDURO</t>
        </is>
      </c>
      <c r="C9" s="23" t="n">
        <v>565</v>
      </c>
      <c r="D9" s="11" t="n">
        <v>46304.25</v>
      </c>
      <c r="E9" s="11" t="n">
        <v>46304.66666666666</v>
      </c>
      <c r="F9" s="11" t="n">
        <v>46306.58333333334</v>
      </c>
      <c r="G9" s="24">
        <f>(E9-D9)*24</f>
        <v/>
      </c>
      <c r="H9" s="24">
        <f>(F9-E9)*24</f>
        <v/>
      </c>
      <c r="I9" s="23" t="inlineStr">
        <is>
          <t>–</t>
        </is>
      </c>
      <c r="J9" s="23" t="inlineStr"/>
    </row>
    <row r="10">
      <c r="A10" s="5" t="inlineStr">
        <is>
          <t>20B</t>
        </is>
      </c>
      <c r="B10" s="5" t="inlineStr">
        <is>
          <t>JOSCO SHINE</t>
        </is>
      </c>
      <c r="C10" s="23" t="n">
        <v>564</v>
      </c>
      <c r="D10" s="11" t="n">
        <v>46306.70833333334</v>
      </c>
      <c r="E10" s="11" t="n">
        <v>46306.70833333334</v>
      </c>
      <c r="F10" s="11" t="n">
        <v>46307.58333333334</v>
      </c>
      <c r="G10" s="24">
        <f>(E10-D10)*24</f>
        <v/>
      </c>
      <c r="H10" s="24">
        <f>(F10-E10)*24</f>
        <v/>
      </c>
      <c r="I10" s="23" t="inlineStr">
        <is>
          <t>–</t>
        </is>
      </c>
      <c r="J10" s="23" t="inlineStr"/>
    </row>
    <row r="11">
      <c r="A11" s="5" t="inlineStr">
        <is>
          <t>20C</t>
        </is>
      </c>
      <c r="B11" s="5" t="inlineStr">
        <is>
          <t>ZHONG GU DONG HAI</t>
        </is>
      </c>
      <c r="C11" s="23" t="n">
        <v>564</v>
      </c>
      <c r="D11" s="11" t="n">
        <v>46302.58333333334</v>
      </c>
      <c r="E11" s="11" t="n">
        <v>46303.58333333334</v>
      </c>
      <c r="F11" s="11" t="n">
        <v>46304.58333333334</v>
      </c>
      <c r="G11" s="24">
        <f>(E11-D11)*24</f>
        <v/>
      </c>
      <c r="H11" s="24">
        <f>(F11-E11)*24</f>
        <v/>
      </c>
      <c r="I11" s="23" t="inlineStr">
        <is>
          <t>–</t>
        </is>
      </c>
      <c r="J11" s="23" t="inlineStr"/>
    </row>
    <row r="12">
      <c r="A12" s="5" t="inlineStr">
        <is>
          <t>20C</t>
        </is>
      </c>
      <c r="B12" s="5" t="inlineStr">
        <is>
          <t>YM INCEPTION</t>
        </is>
      </c>
      <c r="C12" s="23" t="n">
        <v>564</v>
      </c>
      <c r="D12" s="11" t="n">
        <v>46303.54166666666</v>
      </c>
      <c r="E12" s="11" t="n">
        <v>46304.54166666666</v>
      </c>
      <c r="F12" s="11" t="n">
        <v>46305.66666666666</v>
      </c>
      <c r="G12" s="24">
        <f>(E12-D12)*24</f>
        <v/>
      </c>
      <c r="H12" s="24">
        <f>(F12-E12)*24</f>
        <v/>
      </c>
      <c r="I12" s="23" t="inlineStr">
        <is>
          <t>–</t>
        </is>
      </c>
      <c r="J12" s="23" t="inlineStr"/>
    </row>
    <row r="13">
      <c r="A13" s="5" t="inlineStr">
        <is>
          <t>20C</t>
        </is>
      </c>
      <c r="B13" s="5" t="inlineStr">
        <is>
          <t>STARSHIP AQUILA</t>
        </is>
      </c>
      <c r="C13" s="23" t="n">
        <v>565</v>
      </c>
      <c r="D13" s="11" t="n">
        <v>46304.91666666666</v>
      </c>
      <c r="E13" s="11" t="n">
        <v>46305.66666666666</v>
      </c>
      <c r="F13" s="11" t="n">
        <v>46307.20833333334</v>
      </c>
      <c r="G13" s="24">
        <f>(E13-D13)*24</f>
        <v/>
      </c>
      <c r="H13" s="24">
        <f>(F13-E13)*24</f>
        <v/>
      </c>
      <c r="I13" s="23" t="inlineStr">
        <is>
          <t>–</t>
        </is>
      </c>
      <c r="J13" s="23" t="inlineStr"/>
    </row>
    <row r="14">
      <c r="A14" s="5" t="inlineStr">
        <is>
          <t>20C</t>
        </is>
      </c>
      <c r="B14" s="5" t="inlineStr">
        <is>
          <t>ALS SUMIRE</t>
        </is>
      </c>
      <c r="C14" s="23" t="n">
        <v>537</v>
      </c>
      <c r="D14" s="11" t="n">
        <v>46307.75</v>
      </c>
      <c r="E14" s="11" t="n">
        <v>46307.75</v>
      </c>
      <c r="F14" s="11" t="n">
        <v>46309.20833333334</v>
      </c>
      <c r="G14" s="24">
        <f>(E14-D14)*24</f>
        <v/>
      </c>
      <c r="H14" s="24">
        <f>(F14-E14)*24</f>
        <v/>
      </c>
      <c r="I14" s="23" t="inlineStr">
        <is>
          <t>1C</t>
        </is>
      </c>
      <c r="J14" s="23" t="inlineStr"/>
    </row>
    <row r="15">
      <c r="A15" s="5" t="inlineStr">
        <is>
          <t>20D</t>
        </is>
      </c>
      <c r="B15" s="5" t="inlineStr">
        <is>
          <t>HE JIN</t>
        </is>
      </c>
      <c r="C15" s="23" t="n">
        <v>552</v>
      </c>
      <c r="D15" s="11" t="n">
        <v>46304</v>
      </c>
      <c r="E15" s="11" t="n">
        <v>46304</v>
      </c>
      <c r="F15" s="11" t="n">
        <v>46305.54166666666</v>
      </c>
      <c r="G15" s="24">
        <f>(E15-D15)*24</f>
        <v/>
      </c>
      <c r="H15" s="24">
        <f>(F15-E15)*24</f>
        <v/>
      </c>
      <c r="I15" s="23" t="inlineStr">
        <is>
          <t>–</t>
        </is>
      </c>
      <c r="J15" s="23" t="inlineStr"/>
    </row>
    <row r="16">
      <c r="A16" s="5" t="inlineStr">
        <is>
          <t>20D</t>
        </is>
      </c>
      <c r="B16" s="5" t="inlineStr">
        <is>
          <t>CUL HAIPHONG</t>
        </is>
      </c>
      <c r="C16" s="23" t="n">
        <v>458</v>
      </c>
      <c r="D16" s="11" t="n">
        <v>46304.83333333334</v>
      </c>
      <c r="E16" s="11" t="n">
        <v>46305.66666666666</v>
      </c>
      <c r="F16" s="11" t="n">
        <v>46306.25</v>
      </c>
      <c r="G16" s="24">
        <f>(E16-D16)*24</f>
        <v/>
      </c>
      <c r="H16" s="24">
        <f>(F16-E16)*24</f>
        <v/>
      </c>
      <c r="I16" s="23" t="inlineStr">
        <is>
          <t>4A</t>
        </is>
      </c>
      <c r="J16" s="23" t="inlineStr"/>
    </row>
    <row r="17">
      <c r="A17" s="5" t="inlineStr">
        <is>
          <t>20D</t>
        </is>
      </c>
      <c r="B17" s="5" t="inlineStr">
        <is>
          <t>INCEDA</t>
        </is>
      </c>
      <c r="C17" s="23" t="n">
        <v>564</v>
      </c>
      <c r="D17" s="11" t="n">
        <v>46305.70833333334</v>
      </c>
      <c r="E17" s="11" t="n">
        <v>46306.20833333334</v>
      </c>
      <c r="F17" s="11" t="n">
        <v>46307.58333333334</v>
      </c>
      <c r="G17" s="24">
        <f>(E17-D17)*24</f>
        <v/>
      </c>
      <c r="H17" s="24">
        <f>(F17-E17)*24</f>
        <v/>
      </c>
      <c r="I17" s="23" t="inlineStr">
        <is>
          <t>–</t>
        </is>
      </c>
      <c r="J17" s="23" t="inlineStr"/>
    </row>
    <row r="18">
      <c r="A18" s="5" t="inlineStr">
        <is>
          <t>20D</t>
        </is>
      </c>
      <c r="B18" s="5" t="inlineStr">
        <is>
          <t>KMTC TAIPEIS</t>
        </is>
      </c>
      <c r="C18" s="23" t="n">
        <v>565</v>
      </c>
      <c r="D18" s="11" t="n">
        <v>46307.95833333334</v>
      </c>
      <c r="E18" s="11" t="n">
        <v>46308.20833333334</v>
      </c>
      <c r="F18" s="11" t="n">
        <v>46309.625</v>
      </c>
      <c r="G18" s="24">
        <f>(E18-D18)*24</f>
        <v/>
      </c>
      <c r="H18" s="24">
        <f>(F18-E18)*24</f>
        <v/>
      </c>
      <c r="I18" s="23" t="inlineStr">
        <is>
          <t>–</t>
        </is>
      </c>
      <c r="J18" s="23" t="inlineStr"/>
    </row>
    <row r="19">
      <c r="A19" s="5" t="inlineStr">
        <is>
          <t>20F</t>
        </is>
      </c>
      <c r="B19" s="5" t="inlineStr">
        <is>
          <t>XIN AN</t>
        </is>
      </c>
      <c r="C19" s="23" t="n">
        <v>564</v>
      </c>
      <c r="D19" s="11" t="n">
        <v>46302.54166666666</v>
      </c>
      <c r="E19" s="11" t="n">
        <v>46302.58333333334</v>
      </c>
      <c r="F19" s="11" t="n">
        <v>46304.54166666666</v>
      </c>
      <c r="G19" s="24">
        <f>(E19-D19)*24</f>
        <v/>
      </c>
      <c r="H19" s="24">
        <f>(F19-E19)*24</f>
        <v/>
      </c>
      <c r="I19" s="23" t="inlineStr">
        <is>
          <t>–</t>
        </is>
      </c>
      <c r="J19" s="23" t="inlineStr"/>
    </row>
    <row r="20">
      <c r="A20" s="5" t="inlineStr">
        <is>
          <t>20F</t>
        </is>
      </c>
      <c r="B20" s="5" t="inlineStr">
        <is>
          <t>SAWASDEE ATLANTIC</t>
        </is>
      </c>
      <c r="C20" s="23" t="n">
        <v>564</v>
      </c>
      <c r="D20" s="11" t="n">
        <v>46302.83333333334</v>
      </c>
      <c r="E20" s="11" t="n">
        <v>46304.625</v>
      </c>
      <c r="F20" s="11" t="n">
        <v>46306.125</v>
      </c>
      <c r="G20" s="24">
        <f>(E20-D20)*24</f>
        <v/>
      </c>
      <c r="H20" s="24">
        <f>(F20-E20)*24</f>
        <v/>
      </c>
      <c r="I20" s="23" t="inlineStr">
        <is>
          <t>–</t>
        </is>
      </c>
      <c r="J20" s="23" t="inlineStr"/>
    </row>
    <row r="21">
      <c r="A21" s="5" t="inlineStr">
        <is>
          <t>20F</t>
        </is>
      </c>
      <c r="B21" s="5" t="inlineStr">
        <is>
          <t>XIN MING ZHOU 102</t>
        </is>
      </c>
      <c r="C21" s="23" t="n">
        <v>564</v>
      </c>
      <c r="D21" s="11" t="n">
        <v>46305.875</v>
      </c>
      <c r="E21" s="11" t="n">
        <v>46306.20833333334</v>
      </c>
      <c r="F21" s="11" t="n">
        <v>46307.08333333334</v>
      </c>
      <c r="G21" s="24">
        <f>(E21-D21)*24</f>
        <v/>
      </c>
      <c r="H21" s="24">
        <f>(F21-E21)*24</f>
        <v/>
      </c>
      <c r="I21" s="23" t="inlineStr">
        <is>
          <t>–</t>
        </is>
      </c>
      <c r="J21" s="23" t="inlineStr"/>
    </row>
    <row r="22">
      <c r="A22" s="5" t="inlineStr">
        <is>
          <t>20F</t>
        </is>
      </c>
      <c r="B22" s="5" t="inlineStr">
        <is>
          <t>SAWASDEE SUNRISE</t>
        </is>
      </c>
      <c r="C22" s="23" t="n">
        <v>564</v>
      </c>
      <c r="D22" s="11" t="n">
        <v>46307.20833333334</v>
      </c>
      <c r="E22" s="11" t="n">
        <v>46307.20833333334</v>
      </c>
      <c r="F22" s="11" t="n">
        <v>46308.625</v>
      </c>
      <c r="G22" s="24">
        <f>(E22-D22)*24</f>
        <v/>
      </c>
      <c r="H22" s="24">
        <f>(F22-E22)*24</f>
        <v/>
      </c>
      <c r="I22" s="23" t="inlineStr">
        <is>
          <t>–</t>
        </is>
      </c>
      <c r="J22" s="23" t="inlineStr"/>
    </row>
    <row r="25">
      <c r="A25" s="34" t="inlineStr">
        <is>
          <t>Berth &amp; gate notices on this sheet</t>
        </is>
      </c>
    </row>
    <row r="26">
      <c r="A26" s="3" t="inlineStr">
        <is>
          <t>Berth / Gate</t>
        </is>
      </c>
      <c r="B26" s="3" t="inlineStr">
        <is>
          <t>Type</t>
        </is>
      </c>
      <c r="C26" s="3" t="n"/>
      <c r="D26" s="3" t="inlineStr">
        <is>
          <t>From</t>
        </is>
      </c>
      <c r="E26" s="3" t="inlineStr">
        <is>
          <t>To</t>
        </is>
      </c>
      <c r="F26" s="3" t="inlineStr">
        <is>
          <t>Notice / change vs previous sheet</t>
        </is>
      </c>
      <c r="G26" s="35" t="n"/>
      <c r="H26" s="35" t="n"/>
      <c r="I26" s="35" t="n"/>
      <c r="J26" s="36" t="n"/>
    </row>
    <row r="27" ht="42" customHeight="1">
      <c r="A27" s="16" t="inlineStr">
        <is>
          <t>20D</t>
        </is>
      </c>
      <c r="B27" s="16" t="inlineStr">
        <is>
          <t>Berth closed</t>
        </is>
      </c>
      <c r="C27" s="38" t="n"/>
      <c r="D27" s="18" t="n">
        <v>46299</v>
      </c>
      <c r="E27" s="18" t="n">
        <v>46319</v>
      </c>
      <c r="F27" s="16" t="inlineStr">
        <is>
          <t>Close on 4–24 Oct 2026 to renovate electric channel (HE JIN has shifted in to 20D, other vessels are booked from 10/16)  —  Unchanged – conflicts with vessel bookings, please confirm</t>
        </is>
      </c>
      <c r="G27" s="38" t="n"/>
      <c r="H27" s="38" t="n"/>
      <c r="I27" s="38" t="n"/>
      <c r="J27" s="38" t="n"/>
    </row>
    <row r="28" ht="42" customHeight="1">
      <c r="A28" s="16" t="inlineStr">
        <is>
          <t>20E / G.25</t>
        </is>
      </c>
      <c r="B28" s="16" t="inlineStr">
        <is>
          <t>Gate stopped</t>
        </is>
      </c>
      <c r="C28" s="38" t="n"/>
      <c r="D28" s="18" t="n">
        <v>46300</v>
      </c>
      <c r="E28" s="18" t="n">
        <v>46313</v>
      </c>
      <c r="F28" s="16" t="inlineStr">
        <is>
          <t>G.25 stops working 5–18 Oct 2026 to change trolley rail (in progress)  —  Unchanged</t>
        </is>
      </c>
      <c r="G28" s="38" t="n"/>
      <c r="H28" s="38" t="n"/>
      <c r="I28" s="38" t="n"/>
      <c r="J28" s="38" t="n"/>
    </row>
  </sheetData>
  <mergeCells count="3">
    <mergeCell ref="F28:J28"/>
    <mergeCell ref="F26:J26"/>
    <mergeCell ref="F27:J27"/>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J26"/>
  <sheetViews>
    <sheetView workbookViewId="0">
      <pane ySplit="3" topLeftCell="A4" activePane="bottomLeft" state="frozen"/>
      <selection pane="bottomLeft" activeCell="A1" sqref="A1"/>
    </sheetView>
  </sheetViews>
  <sheetFormatPr baseColWidth="8" defaultRowHeight="15"/>
  <cols>
    <col width="10" customWidth="1" min="1" max="1"/>
    <col width="20" customWidth="1" min="2" max="2"/>
    <col width="10" customWidth="1" min="3" max="3"/>
    <col width="16" customWidth="1" min="4" max="4"/>
    <col width="16" customWidth="1" min="5" max="5"/>
    <col width="16" customWidth="1" min="6" max="6"/>
    <col width="18" customWidth="1" min="7" max="7"/>
    <col width="16" customWidth="1" min="8" max="8"/>
    <col width="10" customWidth="1" min="9" max="9"/>
    <col width="10" customWidth="1" min="10" max="10"/>
  </cols>
  <sheetData>
    <row r="1">
      <c r="A1" s="1" t="inlineStr">
        <is>
          <t>PAT Berth Window — Vessel List by Berth — Sheet dated 10 Oct 2026</t>
        </is>
      </c>
    </row>
    <row r="3">
      <c r="A3" s="3" t="inlineStr">
        <is>
          <t>Berth</t>
        </is>
      </c>
      <c r="B3" s="3" t="inlineStr">
        <is>
          <t>Vessel</t>
        </is>
      </c>
      <c r="C3" s="3" t="inlineStr">
        <is>
          <t>LOA (m)</t>
        </is>
      </c>
      <c r="D3" s="3" t="inlineStr">
        <is>
          <t>ETA</t>
        </is>
      </c>
      <c r="E3" s="3" t="inlineStr">
        <is>
          <t>P.B</t>
        </is>
      </c>
      <c r="F3" s="3" t="inlineStr">
        <is>
          <t>ETD</t>
        </is>
      </c>
      <c r="G3" s="3" t="inlineStr">
        <is>
          <t>Waiting for Berth (h)</t>
        </is>
      </c>
      <c r="H3" s="3" t="inlineStr">
        <is>
          <t>Hours Alongside</t>
        </is>
      </c>
      <c r="I3" s="3" t="inlineStr">
        <is>
          <t>Shift</t>
        </is>
      </c>
      <c r="J3" s="3" t="inlineStr">
        <is>
          <t>Marked</t>
        </is>
      </c>
    </row>
    <row r="4">
      <c r="A4" s="5" t="inlineStr">
        <is>
          <t>20AB</t>
        </is>
      </c>
      <c r="B4" s="5" t="inlineStr">
        <is>
          <t>KANWAY FORTUNE</t>
        </is>
      </c>
      <c r="C4" s="23" t="n">
        <v>564</v>
      </c>
      <c r="D4" s="11" t="n">
        <v>46303.66666666666</v>
      </c>
      <c r="E4" s="11" t="n">
        <v>46304.58333333334</v>
      </c>
      <c r="F4" s="11" t="n">
        <v>46305.625</v>
      </c>
      <c r="G4" s="24">
        <f>(E4-D4)*24</f>
        <v/>
      </c>
      <c r="H4" s="24">
        <f>(F4-E4)*24</f>
        <v/>
      </c>
      <c r="I4" s="23" t="inlineStr">
        <is>
          <t>–</t>
        </is>
      </c>
      <c r="J4" s="23" t="inlineStr"/>
    </row>
    <row r="5">
      <c r="A5" s="5" t="inlineStr">
        <is>
          <t>20AB</t>
        </is>
      </c>
      <c r="B5" s="5" t="inlineStr">
        <is>
          <t>CNC MARS</t>
        </is>
      </c>
      <c r="C5" s="23" t="n">
        <v>564</v>
      </c>
      <c r="D5" s="11" t="n">
        <v>46304.91666666666</v>
      </c>
      <c r="E5" s="11" t="n">
        <v>46305.625</v>
      </c>
      <c r="F5" s="11" t="n">
        <v>46306.625</v>
      </c>
      <c r="G5" s="24">
        <f>(E5-D5)*24</f>
        <v/>
      </c>
      <c r="H5" s="24">
        <f>(F5-E5)*24</f>
        <v/>
      </c>
      <c r="I5" s="23" t="inlineStr">
        <is>
          <t>–</t>
        </is>
      </c>
      <c r="J5" s="23" t="inlineStr"/>
    </row>
    <row r="6">
      <c r="A6" s="5" t="inlineStr">
        <is>
          <t>20AB</t>
        </is>
      </c>
      <c r="B6" s="5" t="inlineStr">
        <is>
          <t>JOSCO SHINE</t>
        </is>
      </c>
      <c r="C6" s="23" t="n">
        <v>564</v>
      </c>
      <c r="D6" s="11" t="n">
        <v>46307.54166666666</v>
      </c>
      <c r="E6" s="11" t="n">
        <v>46307.66666666666</v>
      </c>
      <c r="F6" s="11" t="n">
        <v>46308.58333333334</v>
      </c>
      <c r="G6" s="24">
        <f>(E6-D6)*24</f>
        <v/>
      </c>
      <c r="H6" s="24">
        <f>(F6-E6)*24</f>
        <v/>
      </c>
      <c r="I6" s="23" t="inlineStr">
        <is>
          <t>–</t>
        </is>
      </c>
      <c r="J6" s="23" t="inlineStr"/>
    </row>
    <row r="7">
      <c r="A7" s="5" t="inlineStr">
        <is>
          <t>20AB</t>
        </is>
      </c>
      <c r="B7" s="5" t="inlineStr">
        <is>
          <t>KHUNA BHUM</t>
        </is>
      </c>
      <c r="C7" s="23" t="n">
        <v>564</v>
      </c>
      <c r="D7" s="11" t="n">
        <v>46308.29166666666</v>
      </c>
      <c r="E7" s="11" t="n">
        <v>46308.54166666666</v>
      </c>
      <c r="F7" s="11" t="n">
        <v>46309.29166666666</v>
      </c>
      <c r="G7" s="24">
        <f>(E7-D7)*24</f>
        <v/>
      </c>
      <c r="H7" s="24">
        <f>(F7-E7)*24</f>
        <v/>
      </c>
      <c r="I7" s="23" t="inlineStr">
        <is>
          <t>7B</t>
        </is>
      </c>
      <c r="J7" s="23" t="inlineStr"/>
    </row>
    <row r="8">
      <c r="A8" s="5" t="inlineStr">
        <is>
          <t>20B</t>
        </is>
      </c>
      <c r="B8" s="5" t="inlineStr">
        <is>
          <t>INDURO</t>
        </is>
      </c>
      <c r="C8" s="23" t="n">
        <v>565</v>
      </c>
      <c r="D8" s="11" t="n">
        <v>46304.25</v>
      </c>
      <c r="E8" s="11" t="n">
        <v>46304.66666666666</v>
      </c>
      <c r="F8" s="11" t="n">
        <v>46306.16666666666</v>
      </c>
      <c r="G8" s="24">
        <f>(E8-D8)*24</f>
        <v/>
      </c>
      <c r="H8" s="24">
        <f>(F8-E8)*24</f>
        <v/>
      </c>
      <c r="I8" s="23" t="inlineStr">
        <is>
          <t>–</t>
        </is>
      </c>
      <c r="J8" s="23" t="inlineStr"/>
    </row>
    <row r="9">
      <c r="A9" s="6" t="inlineStr">
        <is>
          <t>20B</t>
        </is>
      </c>
      <c r="B9" s="6" t="inlineStr">
        <is>
          <t>XIN MING ZHOU 102</t>
        </is>
      </c>
      <c r="C9" s="17" t="n">
        <v>564</v>
      </c>
      <c r="D9" s="20" t="n">
        <v>46305.875</v>
      </c>
      <c r="E9" s="20" t="n">
        <v>46306.20833333334</v>
      </c>
      <c r="F9" s="20" t="n">
        <v>46307.08333333334</v>
      </c>
      <c r="G9" s="26">
        <f>(E9-D9)*24</f>
        <v/>
      </c>
      <c r="H9" s="26">
        <f>(F9-E9)*24</f>
        <v/>
      </c>
      <c r="I9" s="17" t="inlineStr">
        <is>
          <t>–</t>
        </is>
      </c>
      <c r="J9" s="17" t="inlineStr">
        <is>
          <t>Yes</t>
        </is>
      </c>
    </row>
    <row r="10">
      <c r="A10" s="6" t="inlineStr">
        <is>
          <t>20B</t>
        </is>
      </c>
      <c r="B10" s="6" t="inlineStr">
        <is>
          <t>ALS SUMIRE</t>
        </is>
      </c>
      <c r="C10" s="17" t="n">
        <v>537</v>
      </c>
      <c r="D10" s="20" t="n">
        <v>46307.91666666666</v>
      </c>
      <c r="E10" s="20" t="n">
        <v>46308.25</v>
      </c>
      <c r="F10" s="20" t="n">
        <v>46309.25</v>
      </c>
      <c r="G10" s="26">
        <f>(E10-D10)*24</f>
        <v/>
      </c>
      <c r="H10" s="26">
        <f>(F10-E10)*24</f>
        <v/>
      </c>
      <c r="I10" s="17" t="inlineStr">
        <is>
          <t>1C</t>
        </is>
      </c>
      <c r="J10" s="17" t="inlineStr">
        <is>
          <t>Yes</t>
        </is>
      </c>
    </row>
    <row r="11">
      <c r="A11" s="6" t="inlineStr">
        <is>
          <t>20C</t>
        </is>
      </c>
      <c r="B11" s="6" t="inlineStr">
        <is>
          <t>YM INCEPTION</t>
        </is>
      </c>
      <c r="C11" s="17" t="n">
        <v>564</v>
      </c>
      <c r="D11" s="20" t="n">
        <v>46303.54166666666</v>
      </c>
      <c r="E11" s="20" t="n">
        <v>46304.54166666666</v>
      </c>
      <c r="F11" s="20" t="n">
        <v>46305.58333333334</v>
      </c>
      <c r="G11" s="26">
        <f>(E11-D11)*24</f>
        <v/>
      </c>
      <c r="H11" s="26">
        <f>(F11-E11)*24</f>
        <v/>
      </c>
      <c r="I11" s="17" t="inlineStr">
        <is>
          <t>–</t>
        </is>
      </c>
      <c r="J11" s="17" t="inlineStr">
        <is>
          <t>Yes</t>
        </is>
      </c>
    </row>
    <row r="12">
      <c r="A12" s="6" t="inlineStr">
        <is>
          <t>20C</t>
        </is>
      </c>
      <c r="B12" s="6" t="inlineStr">
        <is>
          <t>STARSHIP AQUILA</t>
        </is>
      </c>
      <c r="C12" s="17" t="n">
        <v>565</v>
      </c>
      <c r="D12" s="20" t="n">
        <v>46304.91666666666</v>
      </c>
      <c r="E12" s="20" t="n">
        <v>46305.58333333334</v>
      </c>
      <c r="F12" s="20" t="n">
        <v>46307.08333333334</v>
      </c>
      <c r="G12" s="26">
        <f>(E12-D12)*24</f>
        <v/>
      </c>
      <c r="H12" s="26">
        <f>(F12-E12)*24</f>
        <v/>
      </c>
      <c r="I12" s="17" t="inlineStr">
        <is>
          <t>–</t>
        </is>
      </c>
      <c r="J12" s="17" t="inlineStr">
        <is>
          <t>Yes</t>
        </is>
      </c>
    </row>
    <row r="13">
      <c r="A13" s="5" t="inlineStr">
        <is>
          <t>20C</t>
        </is>
      </c>
      <c r="B13" s="5" t="inlineStr">
        <is>
          <t>KMTC TAIPEIS</t>
        </is>
      </c>
      <c r="C13" s="23" t="n">
        <v>565</v>
      </c>
      <c r="D13" s="11" t="n">
        <v>46307.95833333334</v>
      </c>
      <c r="E13" s="11" t="n">
        <v>46308.20833333334</v>
      </c>
      <c r="F13" s="11" t="n">
        <v>46309.625</v>
      </c>
      <c r="G13" s="24">
        <f>(E13-D13)*24</f>
        <v/>
      </c>
      <c r="H13" s="24">
        <f>(F13-E13)*24</f>
        <v/>
      </c>
      <c r="I13" s="23" t="inlineStr">
        <is>
          <t>–</t>
        </is>
      </c>
      <c r="J13" s="23" t="inlineStr"/>
    </row>
    <row r="14">
      <c r="A14" s="5" t="inlineStr">
        <is>
          <t>20D</t>
        </is>
      </c>
      <c r="B14" s="5" t="inlineStr">
        <is>
          <t>HE JIN</t>
        </is>
      </c>
      <c r="C14" s="23" t="n">
        <v>552</v>
      </c>
      <c r="D14" s="11" t="n">
        <v>46304</v>
      </c>
      <c r="E14" s="11" t="n">
        <v>46304</v>
      </c>
      <c r="F14" s="11" t="n">
        <v>46305.54166666666</v>
      </c>
      <c r="G14" s="24">
        <f>(E14-D14)*24</f>
        <v/>
      </c>
      <c r="H14" s="24">
        <f>(F14-E14)*24</f>
        <v/>
      </c>
      <c r="I14" s="23" t="inlineStr">
        <is>
          <t>–</t>
        </is>
      </c>
      <c r="J14" s="23" t="inlineStr"/>
    </row>
    <row r="15">
      <c r="A15" s="5" t="inlineStr">
        <is>
          <t>20D</t>
        </is>
      </c>
      <c r="B15" s="5" t="inlineStr">
        <is>
          <t>CUL HAIPHONG</t>
        </is>
      </c>
      <c r="C15" s="23" t="n">
        <v>458</v>
      </c>
      <c r="D15" s="11" t="n">
        <v>46304.83333333334</v>
      </c>
      <c r="E15" s="11" t="n">
        <v>46305.66666666666</v>
      </c>
      <c r="F15" s="11" t="n">
        <v>46306.25</v>
      </c>
      <c r="G15" s="24">
        <f>(E15-D15)*24</f>
        <v/>
      </c>
      <c r="H15" s="24">
        <f>(F15-E15)*24</f>
        <v/>
      </c>
      <c r="I15" s="23" t="inlineStr">
        <is>
          <t>4A</t>
        </is>
      </c>
      <c r="J15" s="23" t="inlineStr"/>
    </row>
    <row r="16">
      <c r="A16" s="5" t="inlineStr">
        <is>
          <t>20D</t>
        </is>
      </c>
      <c r="B16" s="5" t="inlineStr">
        <is>
          <t>INCEDA</t>
        </is>
      </c>
      <c r="C16" s="23" t="n">
        <v>564</v>
      </c>
      <c r="D16" s="11" t="n">
        <v>46305.70833333334</v>
      </c>
      <c r="E16" s="11" t="n">
        <v>46306.20833333334</v>
      </c>
      <c r="F16" s="11" t="n">
        <v>46307.58333333334</v>
      </c>
      <c r="G16" s="24">
        <f>(E16-D16)*24</f>
        <v/>
      </c>
      <c r="H16" s="24">
        <f>(F16-E16)*24</f>
        <v/>
      </c>
      <c r="I16" s="23" t="inlineStr">
        <is>
          <t>–</t>
        </is>
      </c>
      <c r="J16" s="23" t="inlineStr"/>
    </row>
    <row r="17">
      <c r="A17" s="5" t="inlineStr">
        <is>
          <t>20D</t>
        </is>
      </c>
      <c r="B17" s="5" t="inlineStr">
        <is>
          <t>SAWASDEE SUNRISE</t>
        </is>
      </c>
      <c r="C17" s="23" t="n">
        <v>564</v>
      </c>
      <c r="D17" s="11" t="n">
        <v>46307.375</v>
      </c>
      <c r="E17" s="11" t="n">
        <v>46307.66666666666</v>
      </c>
      <c r="F17" s="11" t="n">
        <v>46309.20833333334</v>
      </c>
      <c r="G17" s="24">
        <f>(E17-D17)*24</f>
        <v/>
      </c>
      <c r="H17" s="24">
        <f>(F17-E17)*24</f>
        <v/>
      </c>
      <c r="I17" s="23" t="inlineStr">
        <is>
          <t>–</t>
        </is>
      </c>
      <c r="J17" s="23" t="inlineStr"/>
    </row>
    <row r="18">
      <c r="A18" s="5" t="inlineStr">
        <is>
          <t>20F</t>
        </is>
      </c>
      <c r="B18" s="5" t="inlineStr">
        <is>
          <t>SAWASDEE ATLANTIC</t>
        </is>
      </c>
      <c r="C18" s="23" t="n">
        <v>564</v>
      </c>
      <c r="D18" s="11" t="n">
        <v>46302.83333333334</v>
      </c>
      <c r="E18" s="11" t="n">
        <v>46304.625</v>
      </c>
      <c r="F18" s="11" t="n">
        <v>46306.54166666666</v>
      </c>
      <c r="G18" s="24">
        <f>(E18-D18)*24</f>
        <v/>
      </c>
      <c r="H18" s="24">
        <f>(F18-E18)*24</f>
        <v/>
      </c>
      <c r="I18" s="23" t="inlineStr">
        <is>
          <t>–</t>
        </is>
      </c>
      <c r="J18" s="23" t="inlineStr"/>
    </row>
    <row r="19">
      <c r="A19" s="6" t="inlineStr">
        <is>
          <t>20F</t>
        </is>
      </c>
      <c r="B19" s="6" t="inlineStr">
        <is>
          <t>SAMAL</t>
        </is>
      </c>
      <c r="C19" s="17" t="n">
        <v>564</v>
      </c>
      <c r="D19" s="20" t="n">
        <v>46307.04166666666</v>
      </c>
      <c r="E19" s="20" t="n">
        <v>46307.25</v>
      </c>
      <c r="F19" s="20" t="n">
        <v>46308.58333333334</v>
      </c>
      <c r="G19" s="26">
        <f>(E19-D19)*24</f>
        <v/>
      </c>
      <c r="H19" s="26">
        <f>(F19-E19)*24</f>
        <v/>
      </c>
      <c r="I19" s="17" t="inlineStr">
        <is>
          <t>–</t>
        </is>
      </c>
      <c r="J19" s="17" t="inlineStr">
        <is>
          <t>Yes</t>
        </is>
      </c>
    </row>
    <row r="20">
      <c r="A20" s="6" t="inlineStr">
        <is>
          <t>20F</t>
        </is>
      </c>
      <c r="B20" s="6" t="inlineStr">
        <is>
          <t>WAN HAI 277</t>
        </is>
      </c>
      <c r="C20" s="17" t="n">
        <v>564</v>
      </c>
      <c r="D20" s="20" t="n">
        <v>46308.16666666666</v>
      </c>
      <c r="E20" s="20" t="n">
        <v>46308.66666666666</v>
      </c>
      <c r="F20" s="20" t="n">
        <v>46310.20833333334</v>
      </c>
      <c r="G20" s="26">
        <f>(E20-D20)*24</f>
        <v/>
      </c>
      <c r="H20" s="26">
        <f>(F20-E20)*24</f>
        <v/>
      </c>
      <c r="I20" s="17" t="inlineStr">
        <is>
          <t>–</t>
        </is>
      </c>
      <c r="J20" s="17" t="inlineStr">
        <is>
          <t>Yes</t>
        </is>
      </c>
    </row>
    <row r="23">
      <c r="A23" s="34" t="inlineStr">
        <is>
          <t>Berth &amp; gate notices on this sheet</t>
        </is>
      </c>
    </row>
    <row r="24">
      <c r="A24" s="3" t="inlineStr">
        <is>
          <t>Berth / Gate</t>
        </is>
      </c>
      <c r="B24" s="3" t="inlineStr">
        <is>
          <t>Type</t>
        </is>
      </c>
      <c r="C24" s="3" t="n"/>
      <c r="D24" s="3" t="inlineStr">
        <is>
          <t>From</t>
        </is>
      </c>
      <c r="E24" s="3" t="inlineStr">
        <is>
          <t>To</t>
        </is>
      </c>
      <c r="F24" s="3" t="inlineStr">
        <is>
          <t>Notice / change vs previous sheet</t>
        </is>
      </c>
      <c r="G24" s="35" t="n"/>
      <c r="H24" s="35" t="n"/>
      <c r="I24" s="35" t="n"/>
      <c r="J24" s="36" t="n"/>
    </row>
    <row r="25" ht="42" customHeight="1">
      <c r="A25" s="16" t="inlineStr">
        <is>
          <t>20D</t>
        </is>
      </c>
      <c r="B25" s="16" t="inlineStr">
        <is>
          <t>Berth closed</t>
        </is>
      </c>
      <c r="C25" s="38" t="n"/>
      <c r="D25" s="18" t="n">
        <v>46299</v>
      </c>
      <c r="E25" s="18" t="n">
        <v>46319</v>
      </c>
      <c r="F25" s="16" t="inlineStr">
        <is>
          <t>Close on 4–24 Oct 2026 to renovate electric channel (HE JIN is alongside at 20D; other vessels are booked from 10/16)  —  Unchanged – conflicts with vessel bookings, please confirm</t>
        </is>
      </c>
      <c r="G25" s="38" t="n"/>
      <c r="H25" s="38" t="n"/>
      <c r="I25" s="38" t="n"/>
      <c r="J25" s="38" t="n"/>
    </row>
    <row r="26" ht="42" customHeight="1">
      <c r="A26" s="16" t="inlineStr">
        <is>
          <t>20E / G.25</t>
        </is>
      </c>
      <c r="B26" s="16" t="inlineStr">
        <is>
          <t>Gate stopped</t>
        </is>
      </c>
      <c r="C26" s="38" t="n"/>
      <c r="D26" s="18" t="n">
        <v>46300</v>
      </c>
      <c r="E26" s="18" t="n">
        <v>46313</v>
      </c>
      <c r="F26" s="16" t="inlineStr">
        <is>
          <t>G.25 stops working 5–18 Oct 2026 to change trolley rail (in progress)  —  Unchanged</t>
        </is>
      </c>
      <c r="G26" s="38" t="n"/>
      <c r="H26" s="38" t="n"/>
      <c r="I26" s="38" t="n"/>
      <c r="J26" s="38" t="n"/>
    </row>
  </sheetData>
  <mergeCells count="3">
    <mergeCell ref="F24:J24"/>
    <mergeCell ref="F25:J25"/>
    <mergeCell ref="F26:J26"/>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J22"/>
  <sheetViews>
    <sheetView workbookViewId="0">
      <pane ySplit="3" topLeftCell="A4" activePane="bottomLeft" state="frozen"/>
      <selection pane="bottomLeft" activeCell="A1" sqref="A1"/>
    </sheetView>
  </sheetViews>
  <sheetFormatPr baseColWidth="8" defaultRowHeight="15"/>
  <cols>
    <col width="10" customWidth="1" min="1" max="1"/>
    <col width="20" customWidth="1" min="2" max="2"/>
    <col width="10" customWidth="1" min="3" max="3"/>
    <col width="16" customWidth="1" min="4" max="4"/>
    <col width="16" customWidth="1" min="5" max="5"/>
    <col width="16" customWidth="1" min="6" max="6"/>
    <col width="18" customWidth="1" min="7" max="7"/>
    <col width="16" customWidth="1" min="8" max="8"/>
    <col width="10" customWidth="1" min="9" max="9"/>
    <col width="10" customWidth="1" min="10" max="10"/>
  </cols>
  <sheetData>
    <row r="1">
      <c r="A1" s="1" t="inlineStr">
        <is>
          <t>PAT Berth Window — Vessel List by Berth — Sheet dated 11 Oct 2026</t>
        </is>
      </c>
    </row>
    <row r="3">
      <c r="A3" s="3" t="inlineStr">
        <is>
          <t>Berth</t>
        </is>
      </c>
      <c r="B3" s="3" t="inlineStr">
        <is>
          <t>Vessel</t>
        </is>
      </c>
      <c r="C3" s="3" t="inlineStr">
        <is>
          <t>LOA (m)</t>
        </is>
      </c>
      <c r="D3" s="3" t="inlineStr">
        <is>
          <t>ETA</t>
        </is>
      </c>
      <c r="E3" s="3" t="inlineStr">
        <is>
          <t>P.B</t>
        </is>
      </c>
      <c r="F3" s="3" t="inlineStr">
        <is>
          <t>ETD</t>
        </is>
      </c>
      <c r="G3" s="3" t="inlineStr">
        <is>
          <t>Waiting for Berth (h)</t>
        </is>
      </c>
      <c r="H3" s="3" t="inlineStr">
        <is>
          <t>Hours Alongside</t>
        </is>
      </c>
      <c r="I3" s="3" t="inlineStr">
        <is>
          <t>Shift</t>
        </is>
      </c>
      <c r="J3" s="3" t="inlineStr">
        <is>
          <t>Marked</t>
        </is>
      </c>
    </row>
    <row r="4">
      <c r="A4" s="5" t="inlineStr">
        <is>
          <t>20AB</t>
        </is>
      </c>
      <c r="B4" s="5" t="inlineStr">
        <is>
          <t>CNC MARS</t>
        </is>
      </c>
      <c r="C4" s="23" t="n">
        <v>564</v>
      </c>
      <c r="D4" s="11" t="n">
        <v>46304.91666666666</v>
      </c>
      <c r="E4" s="11" t="n">
        <v>46305.625</v>
      </c>
      <c r="F4" s="11" t="n">
        <v>46306.625</v>
      </c>
      <c r="G4" s="24">
        <f>(E4-D4)*24</f>
        <v/>
      </c>
      <c r="H4" s="24">
        <f>(F4-E4)*24</f>
        <v/>
      </c>
      <c r="I4" s="23" t="inlineStr">
        <is>
          <t>–</t>
        </is>
      </c>
      <c r="J4" s="23" t="inlineStr"/>
    </row>
    <row r="5">
      <c r="A5" s="5" t="inlineStr">
        <is>
          <t>20AB</t>
        </is>
      </c>
      <c r="B5" s="5" t="inlineStr">
        <is>
          <t>SAMAL</t>
        </is>
      </c>
      <c r="C5" s="23" t="n">
        <v>564</v>
      </c>
      <c r="D5" s="11" t="n">
        <v>46307.375</v>
      </c>
      <c r="E5" s="11" t="n">
        <v>46307.66666666666</v>
      </c>
      <c r="F5" s="11" t="n">
        <v>46309.20833333334</v>
      </c>
      <c r="G5" s="24">
        <f>(E5-D5)*24</f>
        <v/>
      </c>
      <c r="H5" s="24">
        <f>(F5-E5)*24</f>
        <v/>
      </c>
      <c r="I5" s="23" t="inlineStr">
        <is>
          <t>–</t>
        </is>
      </c>
      <c r="J5" s="23" t="inlineStr"/>
    </row>
    <row r="6">
      <c r="A6" s="6" t="inlineStr">
        <is>
          <t>20AB</t>
        </is>
      </c>
      <c r="B6" s="6" t="inlineStr">
        <is>
          <t>CEBU</t>
        </is>
      </c>
      <c r="C6" s="17" t="n">
        <v>564</v>
      </c>
      <c r="D6" s="20" t="n">
        <v>46308</v>
      </c>
      <c r="E6" s="20" t="n">
        <v>46309.25</v>
      </c>
      <c r="F6" s="20" t="n">
        <v>46310.66666666666</v>
      </c>
      <c r="G6" s="26">
        <f>(E6-D6)*24</f>
        <v/>
      </c>
      <c r="H6" s="26">
        <f>(F6-E6)*24</f>
        <v/>
      </c>
      <c r="I6" s="17" t="inlineStr">
        <is>
          <t>–</t>
        </is>
      </c>
      <c r="J6" s="17" t="inlineStr">
        <is>
          <t>Yes</t>
        </is>
      </c>
    </row>
    <row r="7">
      <c r="A7" s="5" t="inlineStr">
        <is>
          <t>20B</t>
        </is>
      </c>
      <c r="B7" s="5" t="inlineStr">
        <is>
          <t>XIN MING ZHOU 102</t>
        </is>
      </c>
      <c r="C7" s="23" t="n">
        <v>564</v>
      </c>
      <c r="D7" s="11" t="n">
        <v>46305.875</v>
      </c>
      <c r="E7" s="11" t="n">
        <v>46306.20833333334</v>
      </c>
      <c r="F7" s="11" t="n">
        <v>46307.08333333334</v>
      </c>
      <c r="G7" s="24">
        <f>(E7-D7)*24</f>
        <v/>
      </c>
      <c r="H7" s="24">
        <f>(F7-E7)*24</f>
        <v/>
      </c>
      <c r="I7" s="23" t="inlineStr">
        <is>
          <t>–</t>
        </is>
      </c>
      <c r="J7" s="23" t="inlineStr"/>
    </row>
    <row r="8">
      <c r="A8" s="6" t="inlineStr">
        <is>
          <t>20B</t>
        </is>
      </c>
      <c r="B8" s="6" t="inlineStr">
        <is>
          <t>WAN HAI 277</t>
        </is>
      </c>
      <c r="C8" s="17" t="n">
        <v>564</v>
      </c>
      <c r="D8" s="20" t="n">
        <v>46307.95833333334</v>
      </c>
      <c r="E8" s="20" t="n">
        <v>46308.25</v>
      </c>
      <c r="F8" s="20" t="n">
        <v>46309.625</v>
      </c>
      <c r="G8" s="26">
        <f>(E8-D8)*24</f>
        <v/>
      </c>
      <c r="H8" s="26">
        <f>(F8-E8)*24</f>
        <v/>
      </c>
      <c r="I8" s="17" t="inlineStr">
        <is>
          <t>–</t>
        </is>
      </c>
      <c r="J8" s="17" t="inlineStr">
        <is>
          <t>Yes</t>
        </is>
      </c>
    </row>
    <row r="9">
      <c r="A9" s="5" t="inlineStr">
        <is>
          <t>20C</t>
        </is>
      </c>
      <c r="B9" s="5" t="inlineStr">
        <is>
          <t>STARSHIP AQUILA</t>
        </is>
      </c>
      <c r="C9" s="23" t="n">
        <v>565</v>
      </c>
      <c r="D9" s="11" t="n">
        <v>46304.91666666666</v>
      </c>
      <c r="E9" s="11" t="n">
        <v>46305.58333333334</v>
      </c>
      <c r="F9" s="11" t="n">
        <v>46307.08333333334</v>
      </c>
      <c r="G9" s="24">
        <f>(E9-D9)*24</f>
        <v/>
      </c>
      <c r="H9" s="24">
        <f>(F9-E9)*24</f>
        <v/>
      </c>
      <c r="I9" s="23" t="inlineStr">
        <is>
          <t>–</t>
        </is>
      </c>
      <c r="J9" s="23" t="inlineStr"/>
    </row>
    <row r="10">
      <c r="A10" s="5" t="inlineStr">
        <is>
          <t>20C</t>
        </is>
      </c>
      <c r="B10" s="5" t="inlineStr">
        <is>
          <t>KMTC TAIPEIS</t>
        </is>
      </c>
      <c r="C10" s="23" t="n">
        <v>565</v>
      </c>
      <c r="D10" s="11" t="n">
        <v>46308.04166666666</v>
      </c>
      <c r="E10" s="11" t="n">
        <v>46308.20833333334</v>
      </c>
      <c r="F10" s="11" t="n">
        <v>46309.625</v>
      </c>
      <c r="G10" s="24">
        <f>(E10-D10)*24</f>
        <v/>
      </c>
      <c r="H10" s="24">
        <f>(F10-E10)*24</f>
        <v/>
      </c>
      <c r="I10" s="23" t="inlineStr">
        <is>
          <t>–</t>
        </is>
      </c>
      <c r="J10" s="23" t="inlineStr"/>
    </row>
    <row r="11">
      <c r="A11" s="5" t="inlineStr">
        <is>
          <t>20D</t>
        </is>
      </c>
      <c r="B11" s="5" t="inlineStr">
        <is>
          <t>INCEDA</t>
        </is>
      </c>
      <c r="C11" s="23" t="n">
        <v>564</v>
      </c>
      <c r="D11" s="11" t="n">
        <v>46305.70833333334</v>
      </c>
      <c r="E11" s="11" t="n">
        <v>46306.25</v>
      </c>
      <c r="F11" s="11" t="n">
        <v>46307.58333333334</v>
      </c>
      <c r="G11" s="24">
        <f>(E11-D11)*24</f>
        <v/>
      </c>
      <c r="H11" s="24">
        <f>(F11-E11)*24</f>
        <v/>
      </c>
      <c r="I11" s="23" t="inlineStr">
        <is>
          <t>–</t>
        </is>
      </c>
      <c r="J11" s="23" t="inlineStr"/>
    </row>
    <row r="12">
      <c r="A12" s="5" t="inlineStr">
        <is>
          <t>20D</t>
        </is>
      </c>
      <c r="B12" s="5" t="inlineStr">
        <is>
          <t>SAWASDEE SUNRISE</t>
        </is>
      </c>
      <c r="C12" s="23" t="n">
        <v>564</v>
      </c>
      <c r="D12" s="11" t="n">
        <v>46307.375</v>
      </c>
      <c r="E12" s="11" t="n">
        <v>46307.66666666666</v>
      </c>
      <c r="F12" s="11" t="n">
        <v>46309.20833333334</v>
      </c>
      <c r="G12" s="24">
        <f>(E12-D12)*24</f>
        <v/>
      </c>
      <c r="H12" s="24">
        <f>(F12-E12)*24</f>
        <v/>
      </c>
      <c r="I12" s="23" t="inlineStr">
        <is>
          <t>–</t>
        </is>
      </c>
      <c r="J12" s="23" t="inlineStr"/>
    </row>
    <row r="13">
      <c r="A13" s="6" t="inlineStr">
        <is>
          <t>20D</t>
        </is>
      </c>
      <c r="B13" s="6" t="inlineStr">
        <is>
          <t>KHUNA BHUM</t>
        </is>
      </c>
      <c r="C13" s="17" t="n">
        <v>564</v>
      </c>
      <c r="D13" s="20" t="n">
        <v>46308.29166666666</v>
      </c>
      <c r="E13" s="20" t="n">
        <v>46309.20833333334</v>
      </c>
      <c r="F13" s="20" t="n">
        <v>46309.91666666666</v>
      </c>
      <c r="G13" s="26">
        <f>(E13-D13)*24</f>
        <v/>
      </c>
      <c r="H13" s="26">
        <f>(F13-E13)*24</f>
        <v/>
      </c>
      <c r="I13" s="17" t="inlineStr">
        <is>
          <t>7B</t>
        </is>
      </c>
      <c r="J13" s="17" t="inlineStr">
        <is>
          <t>Yes</t>
        </is>
      </c>
    </row>
    <row r="14">
      <c r="A14" s="5" t="inlineStr">
        <is>
          <t>20F</t>
        </is>
      </c>
      <c r="B14" s="5" t="inlineStr">
        <is>
          <t>SAWASDEE ATLANTIC</t>
        </is>
      </c>
      <c r="C14" s="23" t="n">
        <v>564</v>
      </c>
      <c r="D14" s="11" t="n">
        <v>46302.83333333334</v>
      </c>
      <c r="E14" s="11" t="n">
        <v>46304.625</v>
      </c>
      <c r="F14" s="11" t="n">
        <v>46306.5</v>
      </c>
      <c r="G14" s="24">
        <f>(E14-D14)*24</f>
        <v/>
      </c>
      <c r="H14" s="24">
        <f>(F14-E14)*24</f>
        <v/>
      </c>
      <c r="I14" s="23" t="inlineStr">
        <is>
          <t>–</t>
        </is>
      </c>
      <c r="J14" s="23" t="inlineStr"/>
    </row>
    <row r="15">
      <c r="A15" s="6" t="inlineStr">
        <is>
          <t>20F</t>
        </is>
      </c>
      <c r="B15" s="6" t="inlineStr">
        <is>
          <t>JOSCO SHINE</t>
        </is>
      </c>
      <c r="C15" s="17" t="n">
        <v>564</v>
      </c>
      <c r="D15" s="20" t="n">
        <v>46307.375</v>
      </c>
      <c r="E15" s="20" t="n">
        <v>46307.625</v>
      </c>
      <c r="F15" s="20" t="n">
        <v>46308.25</v>
      </c>
      <c r="G15" s="26">
        <f>(E15-D15)*24</f>
        <v/>
      </c>
      <c r="H15" s="26">
        <f>(F15-E15)*24</f>
        <v/>
      </c>
      <c r="I15" s="17" t="inlineStr">
        <is>
          <t>–</t>
        </is>
      </c>
      <c r="J15" s="17" t="inlineStr">
        <is>
          <t>Yes</t>
        </is>
      </c>
    </row>
    <row r="16">
      <c r="A16" s="5" t="inlineStr">
        <is>
          <t>20F</t>
        </is>
      </c>
      <c r="B16" s="5" t="inlineStr">
        <is>
          <t>ALS SUMIRE</t>
        </is>
      </c>
      <c r="C16" s="23" t="n">
        <v>537</v>
      </c>
      <c r="D16" s="11" t="n">
        <v>46307.91666666666</v>
      </c>
      <c r="E16" s="11" t="n">
        <v>46308.25</v>
      </c>
      <c r="F16" s="11" t="n">
        <v>46309.25</v>
      </c>
      <c r="G16" s="24">
        <f>(E16-D16)*24</f>
        <v/>
      </c>
      <c r="H16" s="24">
        <f>(F16-E16)*24</f>
        <v/>
      </c>
      <c r="I16" s="23" t="inlineStr">
        <is>
          <t>1C</t>
        </is>
      </c>
      <c r="J16" s="23" t="inlineStr"/>
    </row>
    <row r="19">
      <c r="A19" s="34" t="inlineStr">
        <is>
          <t>Berth &amp; gate notices on this sheet</t>
        </is>
      </c>
    </row>
    <row r="20">
      <c r="A20" s="3" t="inlineStr">
        <is>
          <t>Berth / Gate</t>
        </is>
      </c>
      <c r="B20" s="3" t="inlineStr">
        <is>
          <t>Type</t>
        </is>
      </c>
      <c r="C20" s="3" t="n"/>
      <c r="D20" s="3" t="inlineStr">
        <is>
          <t>From</t>
        </is>
      </c>
      <c r="E20" s="3" t="inlineStr">
        <is>
          <t>To</t>
        </is>
      </c>
      <c r="F20" s="3" t="inlineStr">
        <is>
          <t>Notice / change vs previous sheet</t>
        </is>
      </c>
      <c r="G20" s="35" t="n"/>
      <c r="H20" s="35" t="n"/>
      <c r="I20" s="35" t="n"/>
      <c r="J20" s="36" t="n"/>
    </row>
    <row r="21" ht="42" customHeight="1">
      <c r="A21" s="16" t="inlineStr">
        <is>
          <t>20D</t>
        </is>
      </c>
      <c r="B21" s="16" t="inlineStr">
        <is>
          <t>Berth closed</t>
        </is>
      </c>
      <c r="C21" s="38" t="n"/>
      <c r="D21" s="18" t="n">
        <v>46299</v>
      </c>
      <c r="E21" s="18" t="n">
        <v>46319</v>
      </c>
      <c r="F21" s="16" t="inlineStr">
        <is>
          <t>Close on 4–24 Oct 2026 to renovate electric channel (INCEDA is alongside at 20D; other vessels are booked from 12/09)  —  Unchanged – conflicts with vessel bookings, please confirm</t>
        </is>
      </c>
      <c r="G21" s="38" t="n"/>
      <c r="H21" s="38" t="n"/>
      <c r="I21" s="38" t="n"/>
      <c r="J21" s="38" t="n"/>
    </row>
    <row r="22" ht="42" customHeight="1">
      <c r="A22" s="16" t="inlineStr">
        <is>
          <t>20E / G.25</t>
        </is>
      </c>
      <c r="B22" s="16" t="inlineStr">
        <is>
          <t>Gate stopped</t>
        </is>
      </c>
      <c r="C22" s="38" t="n"/>
      <c r="D22" s="18" t="n">
        <v>46300</v>
      </c>
      <c r="E22" s="18" t="n">
        <v>46313</v>
      </c>
      <c r="F22" s="16" t="inlineStr">
        <is>
          <t>G.25 stops working 5–18 Oct 2026 to change trolley rail (in progress)  —  Unchanged</t>
        </is>
      </c>
      <c r="G22" s="38" t="n"/>
      <c r="H22" s="38" t="n"/>
      <c r="I22" s="38" t="n"/>
      <c r="J22" s="38" t="n"/>
    </row>
  </sheetData>
  <mergeCells count="3">
    <mergeCell ref="F22:J22"/>
    <mergeCell ref="F20:J20"/>
    <mergeCell ref="F21:J21"/>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J21"/>
  <sheetViews>
    <sheetView workbookViewId="0">
      <pane ySplit="3" topLeftCell="A4" activePane="bottomLeft" state="frozen"/>
      <selection pane="bottomLeft" activeCell="A1" sqref="A1"/>
    </sheetView>
  </sheetViews>
  <sheetFormatPr baseColWidth="8" defaultRowHeight="15"/>
  <cols>
    <col width="10" customWidth="1" min="1" max="1"/>
    <col width="20" customWidth="1" min="2" max="2"/>
    <col width="10" customWidth="1" min="3" max="3"/>
    <col width="16" customWidth="1" min="4" max="4"/>
    <col width="16" customWidth="1" min="5" max="5"/>
    <col width="16" customWidth="1" min="6" max="6"/>
    <col width="18" customWidth="1" min="7" max="7"/>
    <col width="16" customWidth="1" min="8" max="8"/>
    <col width="10" customWidth="1" min="9" max="9"/>
    <col width="10" customWidth="1" min="10" max="10"/>
  </cols>
  <sheetData>
    <row r="1">
      <c r="A1" s="1" t="inlineStr">
        <is>
          <t>PAT Berth Window — Vessel List by Berth — Sheet dated 12 Oct 2026</t>
        </is>
      </c>
    </row>
    <row r="3">
      <c r="A3" s="3" t="inlineStr">
        <is>
          <t>Berth</t>
        </is>
      </c>
      <c r="B3" s="3" t="inlineStr">
        <is>
          <t>Vessel</t>
        </is>
      </c>
      <c r="C3" s="3" t="inlineStr">
        <is>
          <t>LOA (m)</t>
        </is>
      </c>
      <c r="D3" s="3" t="inlineStr">
        <is>
          <t>ETA</t>
        </is>
      </c>
      <c r="E3" s="3" t="inlineStr">
        <is>
          <t>P.B</t>
        </is>
      </c>
      <c r="F3" s="3" t="inlineStr">
        <is>
          <t>ETD</t>
        </is>
      </c>
      <c r="G3" s="3" t="inlineStr">
        <is>
          <t>Waiting for Berth (h)</t>
        </is>
      </c>
      <c r="H3" s="3" t="inlineStr">
        <is>
          <t>Hours Alongside</t>
        </is>
      </c>
      <c r="I3" s="3" t="inlineStr">
        <is>
          <t>Shift</t>
        </is>
      </c>
      <c r="J3" s="3" t="inlineStr">
        <is>
          <t>Marked</t>
        </is>
      </c>
    </row>
    <row r="4">
      <c r="A4" s="5" t="inlineStr">
        <is>
          <t>20AB</t>
        </is>
      </c>
      <c r="B4" s="5" t="inlineStr">
        <is>
          <t>SAMAL</t>
        </is>
      </c>
      <c r="C4" s="23" t="n">
        <v>564</v>
      </c>
      <c r="D4" s="11" t="n">
        <v>46307.33333333334</v>
      </c>
      <c r="E4" s="11" t="n">
        <v>46307.66666666666</v>
      </c>
      <c r="F4" s="11" t="n">
        <v>46309.20833333334</v>
      </c>
      <c r="G4" s="24">
        <f>(E4-D4)*24</f>
        <v/>
      </c>
      <c r="H4" s="24">
        <f>(F4-E4)*24</f>
        <v/>
      </c>
      <c r="I4" s="23" t="inlineStr">
        <is>
          <t>–</t>
        </is>
      </c>
      <c r="J4" s="23" t="inlineStr"/>
    </row>
    <row r="5">
      <c r="A5" s="5" t="inlineStr">
        <is>
          <t>20AB</t>
        </is>
      </c>
      <c r="B5" s="5" t="inlineStr">
        <is>
          <t>KMTC TAIPEIS</t>
        </is>
      </c>
      <c r="C5" s="23" t="n">
        <v>565</v>
      </c>
      <c r="D5" s="11" t="n">
        <v>46308.04166666666</v>
      </c>
      <c r="E5" s="11" t="n">
        <v>46309.20833333334</v>
      </c>
      <c r="F5" s="11" t="n">
        <v>46310.625</v>
      </c>
      <c r="G5" s="24">
        <f>(E5-D5)*24</f>
        <v/>
      </c>
      <c r="H5" s="24">
        <f>(F5-E5)*24</f>
        <v/>
      </c>
      <c r="I5" s="23" t="inlineStr">
        <is>
          <t>–</t>
        </is>
      </c>
      <c r="J5" s="23" t="inlineStr"/>
    </row>
    <row r="6">
      <c r="A6" s="5" t="inlineStr">
        <is>
          <t>20B</t>
        </is>
      </c>
      <c r="B6" s="5" t="inlineStr">
        <is>
          <t>CEBU</t>
        </is>
      </c>
      <c r="C6" s="23" t="n">
        <v>564</v>
      </c>
      <c r="D6" s="11" t="n">
        <v>46307.91666666666</v>
      </c>
      <c r="E6" s="11" t="n">
        <v>46308.25</v>
      </c>
      <c r="F6" s="11" t="n">
        <v>46309.66666666666</v>
      </c>
      <c r="G6" s="24">
        <f>(E6-D6)*24</f>
        <v/>
      </c>
      <c r="H6" s="24">
        <f>(F6-E6)*24</f>
        <v/>
      </c>
      <c r="I6" s="23" t="inlineStr">
        <is>
          <t>–</t>
        </is>
      </c>
      <c r="J6" s="23" t="inlineStr"/>
    </row>
    <row r="7">
      <c r="A7" s="5" t="inlineStr">
        <is>
          <t>20B</t>
        </is>
      </c>
      <c r="B7" s="5" t="inlineStr">
        <is>
          <t>WAN HAI 173</t>
        </is>
      </c>
      <c r="C7" s="23" t="n">
        <v>565</v>
      </c>
      <c r="D7" s="11" t="n">
        <v>46309.33333333334</v>
      </c>
      <c r="E7" s="11" t="n">
        <v>46309.66666666666</v>
      </c>
      <c r="F7" s="11" t="n">
        <v>46310.29166666666</v>
      </c>
      <c r="G7" s="24">
        <f>(E7-D7)*24</f>
        <v/>
      </c>
      <c r="H7" s="24">
        <f>(F7-E7)*24</f>
        <v/>
      </c>
      <c r="I7" s="23" t="inlineStr">
        <is>
          <t>–</t>
        </is>
      </c>
      <c r="J7" s="23" t="inlineStr"/>
    </row>
    <row r="8">
      <c r="A8" s="5" t="inlineStr">
        <is>
          <t>20C</t>
        </is>
      </c>
      <c r="B8" s="5" t="inlineStr">
        <is>
          <t>WAN HAI 277</t>
        </is>
      </c>
      <c r="C8" s="23" t="n">
        <v>564</v>
      </c>
      <c r="D8" s="11" t="n">
        <v>46307.875</v>
      </c>
      <c r="E8" s="11" t="n">
        <v>46308.25</v>
      </c>
      <c r="F8" s="11" t="n">
        <v>46309.625</v>
      </c>
      <c r="G8" s="24">
        <f>(E8-D8)*24</f>
        <v/>
      </c>
      <c r="H8" s="24">
        <f>(F8-E8)*24</f>
        <v/>
      </c>
      <c r="I8" s="23" t="inlineStr">
        <is>
          <t>–</t>
        </is>
      </c>
      <c r="J8" s="23" t="inlineStr"/>
    </row>
    <row r="9">
      <c r="A9" s="5" t="inlineStr">
        <is>
          <t>20C</t>
        </is>
      </c>
      <c r="B9" s="5" t="inlineStr">
        <is>
          <t>M ODYSSEY</t>
        </is>
      </c>
      <c r="C9" s="23" t="n">
        <v>449</v>
      </c>
      <c r="D9" s="11" t="n">
        <v>46309.125</v>
      </c>
      <c r="E9" s="11" t="n">
        <v>46309.58333333334</v>
      </c>
      <c r="F9" s="11" t="n">
        <v>46310.20833333334</v>
      </c>
      <c r="G9" s="24">
        <f>(E9-D9)*24</f>
        <v/>
      </c>
      <c r="H9" s="24">
        <f>(F9-E9)*24</f>
        <v/>
      </c>
      <c r="I9" s="23" t="inlineStr">
        <is>
          <t>4A</t>
        </is>
      </c>
      <c r="J9" s="23" t="inlineStr"/>
    </row>
    <row r="10">
      <c r="A10" s="5" t="inlineStr">
        <is>
          <t>20D</t>
        </is>
      </c>
      <c r="B10" s="5" t="inlineStr">
        <is>
          <t>INCEDA</t>
        </is>
      </c>
      <c r="C10" s="23" t="n">
        <v>564</v>
      </c>
      <c r="D10" s="11" t="n">
        <v>46305.70833333334</v>
      </c>
      <c r="E10" s="11" t="n">
        <v>46306.25</v>
      </c>
      <c r="F10" s="11" t="n">
        <v>46307.58333333334</v>
      </c>
      <c r="G10" s="24">
        <f>(E10-D10)*24</f>
        <v/>
      </c>
      <c r="H10" s="24">
        <f>(F10-E10)*24</f>
        <v/>
      </c>
      <c r="I10" s="23" t="inlineStr">
        <is>
          <t>–</t>
        </is>
      </c>
      <c r="J10" s="23" t="inlineStr"/>
    </row>
    <row r="11">
      <c r="A11" s="5" t="inlineStr">
        <is>
          <t>20D</t>
        </is>
      </c>
      <c r="B11" s="5" t="inlineStr">
        <is>
          <t>SAWASDEE SUNRISE</t>
        </is>
      </c>
      <c r="C11" s="23" t="n">
        <v>564</v>
      </c>
      <c r="D11" s="11" t="n">
        <v>46307.16666666666</v>
      </c>
      <c r="E11" s="11" t="n">
        <v>46307.66666666666</v>
      </c>
      <c r="F11" s="11" t="n">
        <v>46309.20833333334</v>
      </c>
      <c r="G11" s="24">
        <f>(E11-D11)*24</f>
        <v/>
      </c>
      <c r="H11" s="24">
        <f>(F11-E11)*24</f>
        <v/>
      </c>
      <c r="I11" s="23" t="inlineStr">
        <is>
          <t>–</t>
        </is>
      </c>
      <c r="J11" s="23" t="inlineStr"/>
    </row>
    <row r="12">
      <c r="A12" s="5" t="inlineStr">
        <is>
          <t>20D</t>
        </is>
      </c>
      <c r="B12" s="5" t="inlineStr">
        <is>
          <t>KHUNA BHUM</t>
        </is>
      </c>
      <c r="C12" s="23" t="n">
        <v>564</v>
      </c>
      <c r="D12" s="11" t="n">
        <v>46308.29166666666</v>
      </c>
      <c r="E12" s="11" t="n">
        <v>46309.20833333334</v>
      </c>
      <c r="F12" s="11" t="n">
        <v>46309.91666666666</v>
      </c>
      <c r="G12" s="24">
        <f>(E12-D12)*24</f>
        <v/>
      </c>
      <c r="H12" s="24">
        <f>(F12-E12)*24</f>
        <v/>
      </c>
      <c r="I12" s="23" t="inlineStr">
        <is>
          <t>7B</t>
        </is>
      </c>
      <c r="J12" s="23" t="inlineStr"/>
    </row>
    <row r="13">
      <c r="A13" s="5" t="inlineStr">
        <is>
          <t>20F</t>
        </is>
      </c>
      <c r="B13" s="5" t="inlineStr">
        <is>
          <t>JOSCO SHINE</t>
        </is>
      </c>
      <c r="C13" s="23" t="n">
        <v>564</v>
      </c>
      <c r="D13" s="11" t="n">
        <v>46307.45833333334</v>
      </c>
      <c r="E13" s="11" t="n">
        <v>46307.625</v>
      </c>
      <c r="F13" s="11" t="n">
        <v>46308.25</v>
      </c>
      <c r="G13" s="24">
        <f>(E13-D13)*24</f>
        <v/>
      </c>
      <c r="H13" s="24">
        <f>(F13-E13)*24</f>
        <v/>
      </c>
      <c r="I13" s="23" t="inlineStr">
        <is>
          <t>–</t>
        </is>
      </c>
      <c r="J13" s="23" t="inlineStr"/>
    </row>
    <row r="14">
      <c r="A14" s="5" t="inlineStr">
        <is>
          <t>20F</t>
        </is>
      </c>
      <c r="B14" s="5" t="inlineStr">
        <is>
          <t>ALS SUMIRE</t>
        </is>
      </c>
      <c r="C14" s="23" t="n">
        <v>537</v>
      </c>
      <c r="D14" s="11" t="n">
        <v>46307.91666666666</v>
      </c>
      <c r="E14" s="11" t="n">
        <v>46308.25</v>
      </c>
      <c r="F14" s="11" t="n">
        <v>46309.25</v>
      </c>
      <c r="G14" s="24">
        <f>(E14-D14)*24</f>
        <v/>
      </c>
      <c r="H14" s="24">
        <f>(F14-E14)*24</f>
        <v/>
      </c>
      <c r="I14" s="23" t="inlineStr">
        <is>
          <t>1C</t>
        </is>
      </c>
      <c r="J14" s="23" t="inlineStr"/>
    </row>
    <row r="15">
      <c r="A15" s="5" t="inlineStr">
        <is>
          <t>20F</t>
        </is>
      </c>
      <c r="B15" s="5" t="inlineStr">
        <is>
          <t>SAWASDEE INCHEON</t>
        </is>
      </c>
      <c r="C15" s="23" t="n">
        <v>564</v>
      </c>
      <c r="D15" s="11" t="n">
        <v>46308.625</v>
      </c>
      <c r="E15" s="11" t="n">
        <v>46309.25</v>
      </c>
      <c r="F15" s="11" t="n">
        <v>46310.625</v>
      </c>
      <c r="G15" s="24">
        <f>(E15-D15)*24</f>
        <v/>
      </c>
      <c r="H15" s="24">
        <f>(F15-E15)*24</f>
        <v/>
      </c>
      <c r="I15" s="23" t="inlineStr">
        <is>
          <t>–</t>
        </is>
      </c>
      <c r="J15" s="23" t="inlineStr"/>
    </row>
    <row r="18">
      <c r="A18" s="34" t="inlineStr">
        <is>
          <t>Berth &amp; gate notices on this sheet</t>
        </is>
      </c>
    </row>
    <row r="19">
      <c r="A19" s="3" t="inlineStr">
        <is>
          <t>Berth / Gate</t>
        </is>
      </c>
      <c r="B19" s="3" t="inlineStr">
        <is>
          <t>Type</t>
        </is>
      </c>
      <c r="C19" s="3" t="n"/>
      <c r="D19" s="3" t="inlineStr">
        <is>
          <t>From</t>
        </is>
      </c>
      <c r="E19" s="3" t="inlineStr">
        <is>
          <t>To</t>
        </is>
      </c>
      <c r="F19" s="3" t="inlineStr">
        <is>
          <t>Notice / change vs previous sheet</t>
        </is>
      </c>
      <c r="G19" s="35" t="n"/>
      <c r="H19" s="35" t="n"/>
      <c r="I19" s="35" t="n"/>
      <c r="J19" s="36" t="n"/>
    </row>
    <row r="20" ht="42" customHeight="1">
      <c r="A20" s="16" t="inlineStr">
        <is>
          <t>20D</t>
        </is>
      </c>
      <c r="B20" s="16" t="inlineStr">
        <is>
          <t>Berth closed</t>
        </is>
      </c>
      <c r="C20" s="38" t="n"/>
      <c r="D20" s="18" t="n">
        <v>46299</v>
      </c>
      <c r="E20" s="18" t="n">
        <v>46319</v>
      </c>
      <c r="F20" s="16" t="inlineStr">
        <is>
          <t>Close on 4–24 Oct 2026 to renovate electric channel (INCEDA is alongside at 20D; other vessels are booked from 12/16)  —  Unchanged – conflicts with vessel bookings, please confirm</t>
        </is>
      </c>
      <c r="G20" s="38" t="n"/>
      <c r="H20" s="38" t="n"/>
      <c r="I20" s="38" t="n"/>
      <c r="J20" s="38" t="n"/>
    </row>
    <row r="21" ht="42" customHeight="1">
      <c r="A21" s="16" t="inlineStr">
        <is>
          <t>20E / G.25</t>
        </is>
      </c>
      <c r="B21" s="16" t="inlineStr">
        <is>
          <t>Gate stopped</t>
        </is>
      </c>
      <c r="C21" s="38" t="n"/>
      <c r="D21" s="18" t="n">
        <v>46300</v>
      </c>
      <c r="E21" s="18" t="n">
        <v>46313</v>
      </c>
      <c r="F21" s="16" t="inlineStr">
        <is>
          <t>G.25 stops working 5–18 Oct 2026 to change trolley rail (in progress)  —  Unchanged</t>
        </is>
      </c>
      <c r="G21" s="38" t="n"/>
      <c r="H21" s="38" t="n"/>
      <c r="I21" s="38" t="n"/>
      <c r="J21" s="38" t="n"/>
    </row>
  </sheetData>
  <mergeCells count="3">
    <mergeCell ref="F19:J19"/>
    <mergeCell ref="F20:J20"/>
    <mergeCell ref="F21:J21"/>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J22"/>
  <sheetViews>
    <sheetView workbookViewId="0">
      <pane ySplit="3" topLeftCell="A4" activePane="bottomLeft" state="frozen"/>
      <selection pane="bottomLeft" activeCell="A1" sqref="A1"/>
    </sheetView>
  </sheetViews>
  <sheetFormatPr baseColWidth="8" defaultRowHeight="15"/>
  <cols>
    <col width="10" customWidth="1" min="1" max="1"/>
    <col width="20" customWidth="1" min="2" max="2"/>
    <col width="10" customWidth="1" min="3" max="3"/>
    <col width="16" customWidth="1" min="4" max="4"/>
    <col width="16" customWidth="1" min="5" max="5"/>
    <col width="16" customWidth="1" min="6" max="6"/>
    <col width="18" customWidth="1" min="7" max="7"/>
    <col width="16" customWidth="1" min="8" max="8"/>
    <col width="10" customWidth="1" min="9" max="9"/>
    <col width="10" customWidth="1" min="10" max="10"/>
  </cols>
  <sheetData>
    <row r="1">
      <c r="A1" s="1" t="inlineStr">
        <is>
          <t>PAT Berth Window — Vessel List by Berth — Sheet dated 13 Oct 2026</t>
        </is>
      </c>
    </row>
    <row r="3">
      <c r="A3" s="3" t="inlineStr">
        <is>
          <t>Berth</t>
        </is>
      </c>
      <c r="B3" s="3" t="inlineStr">
        <is>
          <t>Vessel</t>
        </is>
      </c>
      <c r="C3" s="3" t="inlineStr">
        <is>
          <t>LOA (m)</t>
        </is>
      </c>
      <c r="D3" s="3" t="inlineStr">
        <is>
          <t>ETA</t>
        </is>
      </c>
      <c r="E3" s="3" t="inlineStr">
        <is>
          <t>P.B</t>
        </is>
      </c>
      <c r="F3" s="3" t="inlineStr">
        <is>
          <t>ETD</t>
        </is>
      </c>
      <c r="G3" s="3" t="inlineStr">
        <is>
          <t>Waiting for Berth (h)</t>
        </is>
      </c>
      <c r="H3" s="3" t="inlineStr">
        <is>
          <t>Hours Alongside</t>
        </is>
      </c>
      <c r="I3" s="3" t="inlineStr">
        <is>
          <t>Shift</t>
        </is>
      </c>
      <c r="J3" s="3" t="inlineStr">
        <is>
          <t>Marked</t>
        </is>
      </c>
    </row>
    <row r="4">
      <c r="A4" s="5" t="inlineStr">
        <is>
          <t>20AB</t>
        </is>
      </c>
      <c r="B4" s="5" t="inlineStr">
        <is>
          <t>SAMAL</t>
        </is>
      </c>
      <c r="C4" s="23" t="n">
        <v>564</v>
      </c>
      <c r="D4" s="11" t="n">
        <v>46307.375</v>
      </c>
      <c r="E4" s="11" t="n">
        <v>46307.66666666666</v>
      </c>
      <c r="F4" s="11" t="n">
        <v>46309.20833333334</v>
      </c>
      <c r="G4" s="24">
        <f>(E4-D4)*24</f>
        <v/>
      </c>
      <c r="H4" s="24">
        <f>(F4-E4)*24</f>
        <v/>
      </c>
      <c r="I4" s="23" t="inlineStr">
        <is>
          <t>–</t>
        </is>
      </c>
      <c r="J4" s="23" t="inlineStr"/>
    </row>
    <row r="5">
      <c r="A5" s="5" t="inlineStr">
        <is>
          <t>20AB</t>
        </is>
      </c>
      <c r="B5" s="5" t="inlineStr">
        <is>
          <t>KMTC TAIPEIS</t>
        </is>
      </c>
      <c r="C5" s="23" t="n">
        <v>565</v>
      </c>
      <c r="D5" s="11" t="n">
        <v>46308.08333333334</v>
      </c>
      <c r="E5" s="11" t="n">
        <v>46309.20833333334</v>
      </c>
      <c r="F5" s="11" t="n">
        <v>46310.625</v>
      </c>
      <c r="G5" s="24">
        <f>(E5-D5)*24</f>
        <v/>
      </c>
      <c r="H5" s="24">
        <f>(F5-E5)*24</f>
        <v/>
      </c>
      <c r="I5" s="23" t="inlineStr">
        <is>
          <t>–</t>
        </is>
      </c>
      <c r="J5" s="23" t="inlineStr"/>
    </row>
    <row r="6">
      <c r="A6" s="5" t="inlineStr">
        <is>
          <t>20B</t>
        </is>
      </c>
      <c r="B6" s="5" t="inlineStr">
        <is>
          <t>CEBU</t>
        </is>
      </c>
      <c r="C6" s="23" t="n">
        <v>564</v>
      </c>
      <c r="D6" s="11" t="n">
        <v>46307.91666666666</v>
      </c>
      <c r="E6" s="11" t="n">
        <v>46308.25</v>
      </c>
      <c r="F6" s="11" t="n">
        <v>46309.66666666666</v>
      </c>
      <c r="G6" s="24">
        <f>(E6-D6)*24</f>
        <v/>
      </c>
      <c r="H6" s="24">
        <f>(F6-E6)*24</f>
        <v/>
      </c>
      <c r="I6" s="23" t="inlineStr">
        <is>
          <t>–</t>
        </is>
      </c>
      <c r="J6" s="23" t="inlineStr"/>
    </row>
    <row r="7">
      <c r="A7" s="5" t="inlineStr">
        <is>
          <t>20B</t>
        </is>
      </c>
      <c r="B7" s="5" t="inlineStr">
        <is>
          <t>WAN HAI 173</t>
        </is>
      </c>
      <c r="C7" s="23" t="n">
        <v>565</v>
      </c>
      <c r="D7" s="11" t="n">
        <v>46309.04166666666</v>
      </c>
      <c r="E7" s="11" t="n">
        <v>46309.66666666666</v>
      </c>
      <c r="F7" s="11" t="n">
        <v>46310.29166666666</v>
      </c>
      <c r="G7" s="24">
        <f>(E7-D7)*24</f>
        <v/>
      </c>
      <c r="H7" s="24">
        <f>(F7-E7)*24</f>
        <v/>
      </c>
      <c r="I7" s="23" t="inlineStr">
        <is>
          <t>–</t>
        </is>
      </c>
      <c r="J7" s="23" t="inlineStr"/>
    </row>
    <row r="8">
      <c r="A8" s="5" t="inlineStr">
        <is>
          <t>20B</t>
        </is>
      </c>
      <c r="B8" s="5" t="inlineStr">
        <is>
          <t>WAN HAI 176</t>
        </is>
      </c>
      <c r="C8" s="23" t="n">
        <v>564</v>
      </c>
      <c r="D8" s="11" t="n">
        <v>46310.45833333334</v>
      </c>
      <c r="E8" s="11" t="n">
        <v>46310.45833333334</v>
      </c>
      <c r="F8" s="11" t="n">
        <v>46311.66666666666</v>
      </c>
      <c r="G8" s="24">
        <f>(E8-D8)*24</f>
        <v/>
      </c>
      <c r="H8" s="24">
        <f>(F8-E8)*24</f>
        <v/>
      </c>
      <c r="I8" s="23" t="inlineStr">
        <is>
          <t>–</t>
        </is>
      </c>
      <c r="J8" s="23" t="inlineStr"/>
    </row>
    <row r="9">
      <c r="A9" s="5" t="inlineStr">
        <is>
          <t>20C</t>
        </is>
      </c>
      <c r="B9" s="5" t="inlineStr">
        <is>
          <t>WAN HAI 277</t>
        </is>
      </c>
      <c r="C9" s="23" t="n">
        <v>564</v>
      </c>
      <c r="D9" s="11" t="n">
        <v>46307.875</v>
      </c>
      <c r="E9" s="11" t="n">
        <v>46308.25</v>
      </c>
      <c r="F9" s="11" t="n">
        <v>46309.625</v>
      </c>
      <c r="G9" s="24">
        <f>(E9-D9)*24</f>
        <v/>
      </c>
      <c r="H9" s="24">
        <f>(F9-E9)*24</f>
        <v/>
      </c>
      <c r="I9" s="23" t="inlineStr">
        <is>
          <t>–</t>
        </is>
      </c>
      <c r="J9" s="23" t="inlineStr"/>
    </row>
    <row r="10">
      <c r="A10" s="5" t="inlineStr">
        <is>
          <t>20C</t>
        </is>
      </c>
      <c r="B10" s="5" t="inlineStr">
        <is>
          <t>M ODYSSEY</t>
        </is>
      </c>
      <c r="C10" s="23" t="n">
        <v>449</v>
      </c>
      <c r="D10" s="11" t="n">
        <v>46309.125</v>
      </c>
      <c r="E10" s="11" t="n">
        <v>46309.58333333334</v>
      </c>
      <c r="F10" s="11" t="n">
        <v>46310.20833333334</v>
      </c>
      <c r="G10" s="24">
        <f>(E10-D10)*24</f>
        <v/>
      </c>
      <c r="H10" s="24">
        <f>(F10-E10)*24</f>
        <v/>
      </c>
      <c r="I10" s="23" t="inlineStr">
        <is>
          <t>–</t>
        </is>
      </c>
      <c r="J10" s="23" t="inlineStr"/>
    </row>
    <row r="11">
      <c r="A11" s="5" t="inlineStr">
        <is>
          <t>20C</t>
        </is>
      </c>
      <c r="B11" s="5" t="inlineStr">
        <is>
          <t>KHARIS HERITAGE</t>
        </is>
      </c>
      <c r="C11" s="23" t="n">
        <v>482</v>
      </c>
      <c r="D11" s="11" t="n">
        <v>46310.04166666666</v>
      </c>
      <c r="E11" s="11" t="n">
        <v>46310.29166666666</v>
      </c>
      <c r="F11" s="11" t="n">
        <v>46311.29166666666</v>
      </c>
      <c r="G11" s="24">
        <f>(E11-D11)*24</f>
        <v/>
      </c>
      <c r="H11" s="24">
        <f>(F11-E11)*24</f>
        <v/>
      </c>
      <c r="I11" s="23" t="inlineStr">
        <is>
          <t>–</t>
        </is>
      </c>
      <c r="J11" s="23" t="inlineStr"/>
    </row>
    <row r="12">
      <c r="A12" s="5" t="inlineStr">
        <is>
          <t>20D</t>
        </is>
      </c>
      <c r="B12" s="5" t="inlineStr">
        <is>
          <t>SAWASDEE SUNRISE</t>
        </is>
      </c>
      <c r="C12" s="23" t="n">
        <v>564</v>
      </c>
      <c r="D12" s="11" t="n">
        <v>46307.16666666666</v>
      </c>
      <c r="E12" s="11" t="n">
        <v>46307.66666666666</v>
      </c>
      <c r="F12" s="11" t="n">
        <v>46309.20833333334</v>
      </c>
      <c r="G12" s="24">
        <f>(E12-D12)*24</f>
        <v/>
      </c>
      <c r="H12" s="24">
        <f>(F12-E12)*24</f>
        <v/>
      </c>
      <c r="I12" s="23" t="inlineStr">
        <is>
          <t>–</t>
        </is>
      </c>
      <c r="J12" s="23" t="inlineStr"/>
    </row>
    <row r="13">
      <c r="A13" s="5" t="inlineStr">
        <is>
          <t>20D</t>
        </is>
      </c>
      <c r="B13" s="5" t="inlineStr">
        <is>
          <t>KHUNA BHUM</t>
        </is>
      </c>
      <c r="C13" s="23" t="n">
        <v>564</v>
      </c>
      <c r="D13" s="11" t="n">
        <v>46308.45833333334</v>
      </c>
      <c r="E13" s="11" t="n">
        <v>46309.20833333334</v>
      </c>
      <c r="F13" s="11" t="n">
        <v>46309.91666666666</v>
      </c>
      <c r="G13" s="24">
        <f>(E13-D13)*24</f>
        <v/>
      </c>
      <c r="H13" s="24">
        <f>(F13-E13)*24</f>
        <v/>
      </c>
      <c r="I13" s="23" t="inlineStr">
        <is>
          <t>7B</t>
        </is>
      </c>
      <c r="J13" s="23" t="inlineStr"/>
    </row>
    <row r="14">
      <c r="A14" s="5" t="inlineStr">
        <is>
          <t>20D</t>
        </is>
      </c>
      <c r="B14" s="5" t="inlineStr">
        <is>
          <t>WAN HAI 175</t>
        </is>
      </c>
      <c r="C14" s="23" t="n">
        <v>565</v>
      </c>
      <c r="D14" s="11" t="n">
        <v>46310.04166666666</v>
      </c>
      <c r="E14" s="11" t="n">
        <v>46310.29166666666</v>
      </c>
      <c r="F14" s="11" t="n">
        <v>46311.70833333334</v>
      </c>
      <c r="G14" s="24">
        <f>(E14-D14)*24</f>
        <v/>
      </c>
      <c r="H14" s="24">
        <f>(F14-E14)*24</f>
        <v/>
      </c>
      <c r="I14" s="23" t="inlineStr">
        <is>
          <t>–</t>
        </is>
      </c>
      <c r="J14" s="23" t="inlineStr"/>
    </row>
    <row r="15">
      <c r="A15" s="5" t="inlineStr">
        <is>
          <t>20F</t>
        </is>
      </c>
      <c r="B15" s="5" t="inlineStr">
        <is>
          <t>ALS SUMIRE</t>
        </is>
      </c>
      <c r="C15" s="23" t="n">
        <v>537</v>
      </c>
      <c r="D15" s="11" t="n">
        <v>46307.91666666666</v>
      </c>
      <c r="E15" s="11" t="n">
        <v>46308.25</v>
      </c>
      <c r="F15" s="11" t="n">
        <v>46309.25</v>
      </c>
      <c r="G15" s="24">
        <f>(E15-D15)*24</f>
        <v/>
      </c>
      <c r="H15" s="24">
        <f>(F15-E15)*24</f>
        <v/>
      </c>
      <c r="I15" s="23" t="inlineStr">
        <is>
          <t>1C</t>
        </is>
      </c>
      <c r="J15" s="23" t="inlineStr"/>
    </row>
    <row r="16">
      <c r="A16" s="5" t="inlineStr">
        <is>
          <t>20F</t>
        </is>
      </c>
      <c r="B16" s="5" t="inlineStr">
        <is>
          <t>SAWASDEE INCHEON</t>
        </is>
      </c>
      <c r="C16" s="23" t="n">
        <v>564</v>
      </c>
      <c r="D16" s="11" t="n">
        <v>46308.625</v>
      </c>
      <c r="E16" s="11" t="n">
        <v>46309.25</v>
      </c>
      <c r="F16" s="11" t="n">
        <v>46310.625</v>
      </c>
      <c r="G16" s="24">
        <f>(E16-D16)*24</f>
        <v/>
      </c>
      <c r="H16" s="24">
        <f>(F16-E16)*24</f>
        <v/>
      </c>
      <c r="I16" s="23" t="inlineStr">
        <is>
          <t>–</t>
        </is>
      </c>
      <c r="J16" s="23" t="inlineStr"/>
    </row>
    <row r="19">
      <c r="A19" s="34" t="inlineStr">
        <is>
          <t>Berth &amp; gate notices on this sheet</t>
        </is>
      </c>
    </row>
    <row r="20">
      <c r="A20" s="3" t="inlineStr">
        <is>
          <t>Berth / Gate</t>
        </is>
      </c>
      <c r="B20" s="3" t="inlineStr">
        <is>
          <t>Type</t>
        </is>
      </c>
      <c r="C20" s="3" t="n"/>
      <c r="D20" s="3" t="inlineStr">
        <is>
          <t>From</t>
        </is>
      </c>
      <c r="E20" s="3" t="inlineStr">
        <is>
          <t>To</t>
        </is>
      </c>
      <c r="F20" s="3" t="inlineStr">
        <is>
          <t>Notice / change vs previous sheet</t>
        </is>
      </c>
      <c r="G20" s="35" t="n"/>
      <c r="H20" s="35" t="n"/>
      <c r="I20" s="35" t="n"/>
      <c r="J20" s="36" t="n"/>
    </row>
    <row r="21" ht="42" customHeight="1">
      <c r="A21" s="16" t="inlineStr">
        <is>
          <t>20D</t>
        </is>
      </c>
      <c r="B21" s="16" t="inlineStr">
        <is>
          <t>Berth closed</t>
        </is>
      </c>
      <c r="C21" s="38" t="n"/>
      <c r="D21" s="18" t="n">
        <v>46299</v>
      </c>
      <c r="E21" s="18" t="n">
        <v>46319</v>
      </c>
      <c r="F21" s="16" t="inlineStr">
        <is>
          <t>Close on 4–24 Oct 2026 to renovate electric channel (SAWASDEE SUNRISE is alongside at 20D; other vessels are booked from 14/05)  —  Unchanged – conflicts with vessel bookings, please confirm</t>
        </is>
      </c>
      <c r="G21" s="38" t="n"/>
      <c r="H21" s="38" t="n"/>
      <c r="I21" s="38" t="n"/>
      <c r="J21" s="38" t="n"/>
    </row>
    <row r="22" ht="42" customHeight="1">
      <c r="A22" s="16" t="inlineStr">
        <is>
          <t>20E / G.25</t>
        </is>
      </c>
      <c r="B22" s="16" t="inlineStr">
        <is>
          <t>Gate stopped</t>
        </is>
      </c>
      <c r="C22" s="38" t="n"/>
      <c r="D22" s="18" t="n">
        <v>46300</v>
      </c>
      <c r="E22" s="18" t="n">
        <v>46313</v>
      </c>
      <c r="F22" s="16" t="inlineStr">
        <is>
          <t>G.25 stops working 5–18 Oct 2026 to change trolley rail (in progress)  —  Unchanged</t>
        </is>
      </c>
      <c r="G22" s="38" t="n"/>
      <c r="H22" s="38" t="n"/>
      <c r="I22" s="38" t="n"/>
      <c r="J22" s="38" t="n"/>
    </row>
  </sheetData>
  <mergeCells count="3">
    <mergeCell ref="F22:J22"/>
    <mergeCell ref="F20:J20"/>
    <mergeCell ref="F21:J21"/>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J21"/>
  <sheetViews>
    <sheetView workbookViewId="0">
      <pane ySplit="3" topLeftCell="A4" activePane="bottomLeft" state="frozen"/>
      <selection pane="bottomLeft" activeCell="A1" sqref="A1"/>
    </sheetView>
  </sheetViews>
  <sheetFormatPr baseColWidth="8" defaultRowHeight="15"/>
  <cols>
    <col width="10" customWidth="1" min="1" max="1"/>
    <col width="20" customWidth="1" min="2" max="2"/>
    <col width="10" customWidth="1" min="3" max="3"/>
    <col width="16" customWidth="1" min="4" max="4"/>
    <col width="16" customWidth="1" min="5" max="5"/>
    <col width="16" customWidth="1" min="6" max="6"/>
    <col width="18" customWidth="1" min="7" max="7"/>
    <col width="16" customWidth="1" min="8" max="8"/>
    <col width="10" customWidth="1" min="9" max="9"/>
    <col width="10" customWidth="1" min="10" max="10"/>
  </cols>
  <sheetData>
    <row r="1">
      <c r="A1" s="1" t="inlineStr">
        <is>
          <t>PAT Berth Window — Vessel List by Berth — Sheet dated 14 Oct 2026</t>
        </is>
      </c>
    </row>
    <row r="3">
      <c r="A3" s="3" t="inlineStr">
        <is>
          <t>Berth</t>
        </is>
      </c>
      <c r="B3" s="3" t="inlineStr">
        <is>
          <t>Vessel</t>
        </is>
      </c>
      <c r="C3" s="3" t="inlineStr">
        <is>
          <t>LOA (m)</t>
        </is>
      </c>
      <c r="D3" s="3" t="inlineStr">
        <is>
          <t>ETA</t>
        </is>
      </c>
      <c r="E3" s="3" t="inlineStr">
        <is>
          <t>P.B</t>
        </is>
      </c>
      <c r="F3" s="3" t="inlineStr">
        <is>
          <t>ETD</t>
        </is>
      </c>
      <c r="G3" s="3" t="inlineStr">
        <is>
          <t>Waiting for Berth (h)</t>
        </is>
      </c>
      <c r="H3" s="3" t="inlineStr">
        <is>
          <t>Hours Alongside</t>
        </is>
      </c>
      <c r="I3" s="3" t="inlineStr">
        <is>
          <t>Shift</t>
        </is>
      </c>
      <c r="J3" s="3" t="inlineStr">
        <is>
          <t>Marked</t>
        </is>
      </c>
    </row>
    <row r="4">
      <c r="A4" s="5" t="inlineStr">
        <is>
          <t>20AB</t>
        </is>
      </c>
      <c r="B4" s="5" t="inlineStr">
        <is>
          <t>KMTC TAIPEIS</t>
        </is>
      </c>
      <c r="C4" s="23" t="n">
        <v>565</v>
      </c>
      <c r="D4" s="11" t="n">
        <v>46308.08333333334</v>
      </c>
      <c r="E4" s="11" t="n">
        <v>46309.20833333334</v>
      </c>
      <c r="F4" s="11" t="n">
        <v>46310.33333333334</v>
      </c>
      <c r="G4" s="24">
        <f>(E4-D4)*24</f>
        <v/>
      </c>
      <c r="H4" s="24">
        <f>(F4-E4)*24</f>
        <v/>
      </c>
      <c r="I4" s="23" t="inlineStr">
        <is>
          <t>–</t>
        </is>
      </c>
      <c r="J4" s="23" t="inlineStr"/>
    </row>
    <row r="5">
      <c r="A5" s="5" t="inlineStr">
        <is>
          <t>20AB</t>
        </is>
      </c>
      <c r="B5" s="5" t="inlineStr">
        <is>
          <t>WAN HAI 176</t>
        </is>
      </c>
      <c r="C5" s="23" t="n">
        <v>564</v>
      </c>
      <c r="D5" s="11" t="n">
        <v>46310.45833333334</v>
      </c>
      <c r="E5" s="11" t="n">
        <v>46310.45833333334</v>
      </c>
      <c r="F5" s="11" t="n">
        <v>46311.66666666666</v>
      </c>
      <c r="G5" s="24">
        <f>(E5-D5)*24</f>
        <v/>
      </c>
      <c r="H5" s="24">
        <f>(F5-E5)*24</f>
        <v/>
      </c>
      <c r="I5" s="23" t="inlineStr">
        <is>
          <t>–</t>
        </is>
      </c>
      <c r="J5" s="23" t="inlineStr"/>
    </row>
    <row r="6">
      <c r="A6" s="5" t="inlineStr">
        <is>
          <t>20B</t>
        </is>
      </c>
      <c r="B6" s="5" t="inlineStr">
        <is>
          <t>CEBU</t>
        </is>
      </c>
      <c r="C6" s="23" t="n">
        <v>564</v>
      </c>
      <c r="D6" s="11" t="n">
        <v>46307.91666666666</v>
      </c>
      <c r="E6" s="11" t="n">
        <v>46308.25</v>
      </c>
      <c r="F6" s="11" t="n">
        <v>46309.54166666666</v>
      </c>
      <c r="G6" s="24">
        <f>(E6-D6)*24</f>
        <v/>
      </c>
      <c r="H6" s="24">
        <f>(F6-E6)*24</f>
        <v/>
      </c>
      <c r="I6" s="23" t="inlineStr">
        <is>
          <t>–</t>
        </is>
      </c>
      <c r="J6" s="23" t="inlineStr"/>
    </row>
    <row r="7">
      <c r="A7" s="5" t="inlineStr">
        <is>
          <t>20B</t>
        </is>
      </c>
      <c r="B7" s="5" t="inlineStr">
        <is>
          <t>M ODYSSEY</t>
        </is>
      </c>
      <c r="C7" s="23" t="n">
        <v>449</v>
      </c>
      <c r="D7" s="11" t="n">
        <v>46309.04166666666</v>
      </c>
      <c r="E7" s="11" t="n">
        <v>46309.625</v>
      </c>
      <c r="F7" s="11" t="n">
        <v>46310.20833333334</v>
      </c>
      <c r="G7" s="24">
        <f>(E7-D7)*24</f>
        <v/>
      </c>
      <c r="H7" s="24">
        <f>(F7-E7)*24</f>
        <v/>
      </c>
      <c r="I7" s="23" t="inlineStr">
        <is>
          <t>4A</t>
        </is>
      </c>
      <c r="J7" s="23" t="inlineStr"/>
    </row>
    <row r="8">
      <c r="A8" s="5" t="inlineStr">
        <is>
          <t>20B</t>
        </is>
      </c>
      <c r="B8" s="5" t="inlineStr">
        <is>
          <t>KHARIS HERITAGE</t>
        </is>
      </c>
      <c r="C8" s="23" t="n">
        <v>482</v>
      </c>
      <c r="D8" s="11" t="n">
        <v>46310.04166666666</v>
      </c>
      <c r="E8" s="11" t="n">
        <v>46310.29166666666</v>
      </c>
      <c r="F8" s="11" t="n">
        <v>46311.29166666666</v>
      </c>
      <c r="G8" s="24">
        <f>(E8-D8)*24</f>
        <v/>
      </c>
      <c r="H8" s="24">
        <f>(F8-E8)*24</f>
        <v/>
      </c>
      <c r="I8" s="23" t="inlineStr">
        <is>
          <t>–</t>
        </is>
      </c>
      <c r="J8" s="23" t="inlineStr"/>
    </row>
    <row r="9">
      <c r="A9" s="5" t="inlineStr">
        <is>
          <t>20C</t>
        </is>
      </c>
      <c r="B9" s="5" t="inlineStr">
        <is>
          <t>WAN HAI 277</t>
        </is>
      </c>
      <c r="C9" s="23" t="n">
        <v>564</v>
      </c>
      <c r="D9" s="11" t="n">
        <v>46307.875</v>
      </c>
      <c r="E9" s="11" t="n">
        <v>46308.25</v>
      </c>
      <c r="F9" s="11" t="n">
        <v>46309.66666666666</v>
      </c>
      <c r="G9" s="24">
        <f>(E9-D9)*24</f>
        <v/>
      </c>
      <c r="H9" s="24">
        <f>(F9-E9)*24</f>
        <v/>
      </c>
      <c r="I9" s="23" t="inlineStr">
        <is>
          <t>–</t>
        </is>
      </c>
      <c r="J9" s="23" t="inlineStr"/>
    </row>
    <row r="10">
      <c r="A10" s="5" t="inlineStr">
        <is>
          <t>20C</t>
        </is>
      </c>
      <c r="B10" s="5" t="inlineStr">
        <is>
          <t>WAN HAI 173</t>
        </is>
      </c>
      <c r="C10" s="23" t="n">
        <v>565</v>
      </c>
      <c r="D10" s="11" t="n">
        <v>46309.04166666666</v>
      </c>
      <c r="E10" s="11" t="n">
        <v>46309.66666666666</v>
      </c>
      <c r="F10" s="11" t="n">
        <v>46310.29166666666</v>
      </c>
      <c r="G10" s="24">
        <f>(E10-D10)*24</f>
        <v/>
      </c>
      <c r="H10" s="24">
        <f>(F10-E10)*24</f>
        <v/>
      </c>
      <c r="I10" s="23" t="inlineStr">
        <is>
          <t>–</t>
        </is>
      </c>
      <c r="J10" s="23" t="inlineStr"/>
    </row>
    <row r="11">
      <c r="A11" s="5" t="inlineStr">
        <is>
          <t>20C</t>
        </is>
      </c>
      <c r="B11" s="5" t="inlineStr">
        <is>
          <t>WAN HAI 175</t>
        </is>
      </c>
      <c r="C11" s="23" t="n">
        <v>565</v>
      </c>
      <c r="D11" s="11" t="n">
        <v>46309.95833333334</v>
      </c>
      <c r="E11" s="11" t="n">
        <v>46310.29166666666</v>
      </c>
      <c r="F11" s="11" t="n">
        <v>46311.625</v>
      </c>
      <c r="G11" s="24">
        <f>(E11-D11)*24</f>
        <v/>
      </c>
      <c r="H11" s="24">
        <f>(F11-E11)*24</f>
        <v/>
      </c>
      <c r="I11" s="23" t="inlineStr">
        <is>
          <t>–</t>
        </is>
      </c>
      <c r="J11" s="23" t="inlineStr"/>
    </row>
    <row r="12">
      <c r="A12" s="5" t="inlineStr">
        <is>
          <t>20D</t>
        </is>
      </c>
      <c r="B12" s="5" t="inlineStr">
        <is>
          <t>KHUNA BHUM</t>
        </is>
      </c>
      <c r="C12" s="23" t="n">
        <v>564</v>
      </c>
      <c r="D12" s="11" t="n">
        <v>46308.45833333334</v>
      </c>
      <c r="E12" s="11" t="n">
        <v>46309.20833333334</v>
      </c>
      <c r="F12" s="11" t="n">
        <v>46309.91666666666</v>
      </c>
      <c r="G12" s="24">
        <f>(E12-D12)*24</f>
        <v/>
      </c>
      <c r="H12" s="24">
        <f>(F12-E12)*24</f>
        <v/>
      </c>
      <c r="I12" s="23" t="inlineStr">
        <is>
          <t>7B</t>
        </is>
      </c>
      <c r="J12" s="23" t="inlineStr"/>
    </row>
    <row r="13">
      <c r="A13" s="5" t="inlineStr">
        <is>
          <t>20D</t>
        </is>
      </c>
      <c r="B13" s="5" t="inlineStr">
        <is>
          <t>SITC DALIAN</t>
        </is>
      </c>
      <c r="C13" s="23" t="n">
        <v>470</v>
      </c>
      <c r="D13" s="11" t="n">
        <v>46309.33333333334</v>
      </c>
      <c r="E13" s="11" t="n">
        <v>46310.20833333334</v>
      </c>
      <c r="F13" s="11" t="n">
        <v>46311.25</v>
      </c>
      <c r="G13" s="24">
        <f>(E13-D13)*24</f>
        <v/>
      </c>
      <c r="H13" s="24">
        <f>(F13-E13)*24</f>
        <v/>
      </c>
      <c r="I13" s="23" t="inlineStr">
        <is>
          <t>–</t>
        </is>
      </c>
      <c r="J13" s="23" t="inlineStr"/>
    </row>
    <row r="14">
      <c r="A14" s="5" t="inlineStr">
        <is>
          <t>20D</t>
        </is>
      </c>
      <c r="B14" s="5" t="inlineStr">
        <is>
          <t>WAN HAI 172</t>
        </is>
      </c>
      <c r="C14" s="23" t="n">
        <v>565</v>
      </c>
      <c r="D14" s="11" t="n">
        <v>46311.04166666666</v>
      </c>
      <c r="E14" s="11" t="n">
        <v>46311.29166666666</v>
      </c>
      <c r="F14" s="11" t="n">
        <v>46312.625</v>
      </c>
      <c r="G14" s="24">
        <f>(E14-D14)*24</f>
        <v/>
      </c>
      <c r="H14" s="24">
        <f>(F14-E14)*24</f>
        <v/>
      </c>
      <c r="I14" s="23" t="inlineStr">
        <is>
          <t>–</t>
        </is>
      </c>
      <c r="J14" s="23" t="inlineStr"/>
    </row>
    <row r="15">
      <c r="A15" s="5" t="inlineStr">
        <is>
          <t>20F</t>
        </is>
      </c>
      <c r="B15" s="5" t="inlineStr">
        <is>
          <t>SAWASDEE INCHEON</t>
        </is>
      </c>
      <c r="C15" s="23" t="n">
        <v>564</v>
      </c>
      <c r="D15" s="11" t="n">
        <v>46308.625</v>
      </c>
      <c r="E15" s="11" t="n">
        <v>46309.25</v>
      </c>
      <c r="F15" s="11" t="n">
        <v>46311.25</v>
      </c>
      <c r="G15" s="24">
        <f>(E15-D15)*24</f>
        <v/>
      </c>
      <c r="H15" s="24">
        <f>(F15-E15)*24</f>
        <v/>
      </c>
      <c r="I15" s="23" t="inlineStr">
        <is>
          <t>–</t>
        </is>
      </c>
      <c r="J15" s="23" t="inlineStr"/>
    </row>
    <row r="18">
      <c r="A18" s="34" t="inlineStr">
        <is>
          <t>Berth &amp; gate notices on this sheet</t>
        </is>
      </c>
    </row>
    <row r="19">
      <c r="A19" s="3" t="inlineStr">
        <is>
          <t>Berth / Gate</t>
        </is>
      </c>
      <c r="B19" s="3" t="inlineStr">
        <is>
          <t>Type</t>
        </is>
      </c>
      <c r="C19" s="3" t="n"/>
      <c r="D19" s="3" t="inlineStr">
        <is>
          <t>From</t>
        </is>
      </c>
      <c r="E19" s="3" t="inlineStr">
        <is>
          <t>To</t>
        </is>
      </c>
      <c r="F19" s="3" t="inlineStr">
        <is>
          <t>Notice / change vs previous sheet</t>
        </is>
      </c>
      <c r="G19" s="35" t="n"/>
      <c r="H19" s="35" t="n"/>
      <c r="I19" s="35" t="n"/>
      <c r="J19" s="36" t="n"/>
    </row>
    <row r="20" ht="42" customHeight="1">
      <c r="A20" s="16" t="inlineStr">
        <is>
          <t>20D</t>
        </is>
      </c>
      <c r="B20" s="16" t="inlineStr">
        <is>
          <t>Berth closed</t>
        </is>
      </c>
      <c r="C20" s="38" t="n"/>
      <c r="D20" s="18" t="n">
        <v>46299</v>
      </c>
      <c r="E20" s="18" t="n">
        <v>46319</v>
      </c>
      <c r="F20" s="16" t="inlineStr">
        <is>
          <t>Close on 4–24 Oct 2026 to renovate electric channel (KHUNA BHUM is alongside at 20D; other vessels are booked from 15/05)  —  Unchanged – conflicts with vessel bookings, please confirm</t>
        </is>
      </c>
      <c r="G20" s="38" t="n"/>
      <c r="H20" s="38" t="n"/>
      <c r="I20" s="38" t="n"/>
      <c r="J20" s="38" t="n"/>
    </row>
    <row r="21" ht="42" customHeight="1">
      <c r="A21" s="16" t="inlineStr">
        <is>
          <t>20E / G.25</t>
        </is>
      </c>
      <c r="B21" s="16" t="inlineStr">
        <is>
          <t>Gate stopped</t>
        </is>
      </c>
      <c r="C21" s="38" t="n"/>
      <c r="D21" s="18" t="n">
        <v>46300</v>
      </c>
      <c r="E21" s="18" t="n">
        <v>46313</v>
      </c>
      <c r="F21" s="16" t="inlineStr">
        <is>
          <t>G.25 stops working 5–18 Oct 2026 to change trolley rail (in progress)  —  Unchanged</t>
        </is>
      </c>
      <c r="G21" s="38" t="n"/>
      <c r="H21" s="38" t="n"/>
      <c r="I21" s="38" t="n"/>
      <c r="J21" s="38" t="n"/>
    </row>
  </sheetData>
  <mergeCells count="3">
    <mergeCell ref="F19:J19"/>
    <mergeCell ref="F20:J20"/>
    <mergeCell ref="F21:J21"/>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J25"/>
  <sheetViews>
    <sheetView workbookViewId="0">
      <pane ySplit="3" topLeftCell="A4" activePane="bottomLeft" state="frozen"/>
      <selection pane="bottomLeft" activeCell="A1" sqref="A1"/>
    </sheetView>
  </sheetViews>
  <sheetFormatPr baseColWidth="8" defaultRowHeight="15"/>
  <cols>
    <col width="10" customWidth="1" min="1" max="1"/>
    <col width="20" customWidth="1" min="2" max="2"/>
    <col width="10" customWidth="1" min="3" max="3"/>
    <col width="16" customWidth="1" min="4" max="4"/>
    <col width="16" customWidth="1" min="5" max="5"/>
    <col width="16" customWidth="1" min="6" max="6"/>
    <col width="18" customWidth="1" min="7" max="7"/>
    <col width="16" customWidth="1" min="8" max="8"/>
    <col width="10" customWidth="1" min="9" max="9"/>
    <col width="10" customWidth="1" min="10" max="10"/>
  </cols>
  <sheetData>
    <row r="1">
      <c r="A1" s="1" t="inlineStr">
        <is>
          <t>PAT Berth Window — Vessel List by Berth — Sheet dated 15 Oct 2026</t>
        </is>
      </c>
    </row>
    <row r="3">
      <c r="A3" s="3" t="inlineStr">
        <is>
          <t>Berth</t>
        </is>
      </c>
      <c r="B3" s="3" t="inlineStr">
        <is>
          <t>Vessel</t>
        </is>
      </c>
      <c r="C3" s="3" t="inlineStr">
        <is>
          <t>LOA (m)</t>
        </is>
      </c>
      <c r="D3" s="3" t="inlineStr">
        <is>
          <t>ETA</t>
        </is>
      </c>
      <c r="E3" s="3" t="inlineStr">
        <is>
          <t>P.B</t>
        </is>
      </c>
      <c r="F3" s="3" t="inlineStr">
        <is>
          <t>ETD</t>
        </is>
      </c>
      <c r="G3" s="3" t="inlineStr">
        <is>
          <t>Waiting for Berth (h)</t>
        </is>
      </c>
      <c r="H3" s="3" t="inlineStr">
        <is>
          <t>Hours Alongside</t>
        </is>
      </c>
      <c r="I3" s="3" t="inlineStr">
        <is>
          <t>Shift</t>
        </is>
      </c>
      <c r="J3" s="3" t="inlineStr">
        <is>
          <t>Marked</t>
        </is>
      </c>
    </row>
    <row r="4">
      <c r="A4" s="5" t="inlineStr">
        <is>
          <t>20AB</t>
        </is>
      </c>
      <c r="B4" s="5" t="inlineStr">
        <is>
          <t>WAN HAI 176</t>
        </is>
      </c>
      <c r="C4" s="23" t="n">
        <v>564</v>
      </c>
      <c r="D4" s="11" t="n">
        <v>46310.33333333334</v>
      </c>
      <c r="E4" s="11" t="n">
        <v>46310.375</v>
      </c>
      <c r="F4" s="11" t="n">
        <v>46311.66666666666</v>
      </c>
      <c r="G4" s="24">
        <f>(E4-D4)*24</f>
        <v/>
      </c>
      <c r="H4" s="24">
        <f>(F4-E4)*24</f>
        <v/>
      </c>
      <c r="I4" s="23" t="inlineStr">
        <is>
          <t>–</t>
        </is>
      </c>
      <c r="J4" s="23" t="inlineStr"/>
    </row>
    <row r="5">
      <c r="A5" s="5" t="inlineStr">
        <is>
          <t>20AB</t>
        </is>
      </c>
      <c r="B5" s="5" t="inlineStr">
        <is>
          <t>BANGKOK</t>
        </is>
      </c>
      <c r="C5" s="23" t="n">
        <v>551</v>
      </c>
      <c r="D5" s="11" t="n">
        <v>46311.875</v>
      </c>
      <c r="E5" s="11" t="n">
        <v>46312.375</v>
      </c>
      <c r="F5" s="11" t="n">
        <v>46313.66666666666</v>
      </c>
      <c r="G5" s="24">
        <f>(E5-D5)*24</f>
        <v/>
      </c>
      <c r="H5" s="24">
        <f>(F5-E5)*24</f>
        <v/>
      </c>
      <c r="I5" s="23" t="inlineStr">
        <is>
          <t>–</t>
        </is>
      </c>
      <c r="J5" s="23" t="inlineStr"/>
    </row>
    <row r="6">
      <c r="A6" s="5" t="inlineStr">
        <is>
          <t>20AB</t>
        </is>
      </c>
      <c r="B6" s="5" t="inlineStr">
        <is>
          <t>CAPE FAWLEY</t>
        </is>
      </c>
      <c r="C6" s="23" t="n">
        <v>558</v>
      </c>
      <c r="D6" s="11" t="n">
        <v>46314.75</v>
      </c>
      <c r="E6" s="11" t="n">
        <v>46314.75</v>
      </c>
      <c r="F6" s="11" t="n">
        <v>46316.45833333334</v>
      </c>
      <c r="G6" s="24">
        <f>(E6-D6)*24</f>
        <v/>
      </c>
      <c r="H6" s="24">
        <f>(F6-E6)*24</f>
        <v/>
      </c>
      <c r="I6" s="23" t="inlineStr">
        <is>
          <t>–</t>
        </is>
      </c>
      <c r="J6" s="23" t="inlineStr"/>
    </row>
    <row r="7">
      <c r="A7" s="5" t="inlineStr">
        <is>
          <t>20B</t>
        </is>
      </c>
      <c r="B7" s="5" t="inlineStr">
        <is>
          <t>KHARIS HERITAGE</t>
        </is>
      </c>
      <c r="C7" s="23" t="n">
        <v>482</v>
      </c>
      <c r="D7" s="11" t="n">
        <v>46310.04166666666</v>
      </c>
      <c r="E7" s="11" t="n">
        <v>46310.25</v>
      </c>
      <c r="F7" s="11" t="n">
        <v>46311.29166666666</v>
      </c>
      <c r="G7" s="24">
        <f>(E7-D7)*24</f>
        <v/>
      </c>
      <c r="H7" s="24">
        <f>(F7-E7)*24</f>
        <v/>
      </c>
      <c r="I7" s="23" t="inlineStr">
        <is>
          <t>–</t>
        </is>
      </c>
      <c r="J7" s="23" t="inlineStr"/>
    </row>
    <row r="8">
      <c r="A8" s="5" t="inlineStr">
        <is>
          <t>20B</t>
        </is>
      </c>
      <c r="B8" s="5" t="inlineStr">
        <is>
          <t>LITTLE DOLPHIN</t>
        </is>
      </c>
      <c r="C8" s="23" t="n">
        <v>564</v>
      </c>
      <c r="D8" s="11" t="n">
        <v>46311.70833333334</v>
      </c>
      <c r="E8" s="11" t="n">
        <v>46311.70833333334</v>
      </c>
      <c r="F8" s="11" t="n">
        <v>46313.29166666666</v>
      </c>
      <c r="G8" s="24">
        <f>(E8-D8)*24</f>
        <v/>
      </c>
      <c r="H8" s="24">
        <f>(F8-E8)*24</f>
        <v/>
      </c>
      <c r="I8" s="23" t="inlineStr">
        <is>
          <t>–</t>
        </is>
      </c>
      <c r="J8" s="23" t="inlineStr"/>
    </row>
    <row r="9">
      <c r="A9" s="5" t="inlineStr">
        <is>
          <t>20B</t>
        </is>
      </c>
      <c r="B9" s="5" t="inlineStr">
        <is>
          <t>XIN MING ZHOU 108</t>
        </is>
      </c>
      <c r="C9" s="23" t="n">
        <v>564</v>
      </c>
      <c r="D9" s="11" t="n">
        <v>46312.91666666666</v>
      </c>
      <c r="E9" s="11" t="n">
        <v>46313.33333333334</v>
      </c>
      <c r="F9" s="11" t="n">
        <v>46314.29166666666</v>
      </c>
      <c r="G9" s="24">
        <f>(E9-D9)*24</f>
        <v/>
      </c>
      <c r="H9" s="24">
        <f>(F9-E9)*24</f>
        <v/>
      </c>
      <c r="I9" s="23" t="inlineStr">
        <is>
          <t>–</t>
        </is>
      </c>
      <c r="J9" s="23" t="inlineStr"/>
    </row>
    <row r="10">
      <c r="A10" s="5" t="inlineStr">
        <is>
          <t>20C</t>
        </is>
      </c>
      <c r="B10" s="5" t="inlineStr">
        <is>
          <t>WAN HAI 175</t>
        </is>
      </c>
      <c r="C10" s="23" t="n">
        <v>565</v>
      </c>
      <c r="D10" s="11" t="n">
        <v>46309.875</v>
      </c>
      <c r="E10" s="11" t="n">
        <v>46310.29166666666</v>
      </c>
      <c r="F10" s="11" t="n">
        <v>46311.625</v>
      </c>
      <c r="G10" s="24">
        <f>(E10-D10)*24</f>
        <v/>
      </c>
      <c r="H10" s="24">
        <f>(F10-E10)*24</f>
        <v/>
      </c>
      <c r="I10" s="23" t="inlineStr">
        <is>
          <t>–</t>
        </is>
      </c>
      <c r="J10" s="23" t="inlineStr"/>
    </row>
    <row r="11">
      <c r="A11" s="5" t="inlineStr">
        <is>
          <t>20C</t>
        </is>
      </c>
      <c r="B11" s="5" t="inlineStr">
        <is>
          <t>TS CHIBA</t>
        </is>
      </c>
      <c r="C11" s="23" t="n">
        <v>485</v>
      </c>
      <c r="D11" s="11" t="n">
        <v>46312.08333333334</v>
      </c>
      <c r="E11" s="11" t="n">
        <v>46312.33333333334</v>
      </c>
      <c r="F11" s="11" t="n">
        <v>46313.29166666666</v>
      </c>
      <c r="G11" s="24">
        <f>(E11-D11)*24</f>
        <v/>
      </c>
      <c r="H11" s="24">
        <f>(F11-E11)*24</f>
        <v/>
      </c>
      <c r="I11" s="23" t="inlineStr">
        <is>
          <t>–</t>
        </is>
      </c>
      <c r="J11" s="23" t="inlineStr"/>
    </row>
    <row r="12">
      <c r="A12" s="5" t="inlineStr">
        <is>
          <t>20C</t>
        </is>
      </c>
      <c r="B12" s="5" t="inlineStr">
        <is>
          <t>INFINITY</t>
        </is>
      </c>
      <c r="C12" s="23" t="n">
        <v>565</v>
      </c>
      <c r="D12" s="11" t="n">
        <v>46313.25</v>
      </c>
      <c r="E12" s="11" t="n">
        <v>46313.29166666666</v>
      </c>
      <c r="F12" s="11" t="n">
        <v>46314.41666666666</v>
      </c>
      <c r="G12" s="24">
        <f>(E12-D12)*24</f>
        <v/>
      </c>
      <c r="H12" s="24">
        <f>(F12-E12)*24</f>
        <v/>
      </c>
      <c r="I12" s="23" t="inlineStr">
        <is>
          <t>–</t>
        </is>
      </c>
      <c r="J12" s="23" t="inlineStr"/>
    </row>
    <row r="13">
      <c r="A13" s="5" t="inlineStr">
        <is>
          <t>20D</t>
        </is>
      </c>
      <c r="B13" s="5" t="inlineStr">
        <is>
          <t>SITC DALIAN</t>
        </is>
      </c>
      <c r="C13" s="23" t="n">
        <v>470</v>
      </c>
      <c r="D13" s="11" t="n">
        <v>46309.33333333334</v>
      </c>
      <c r="E13" s="11" t="n">
        <v>46310.20833333334</v>
      </c>
      <c r="F13" s="11" t="n">
        <v>46311.25</v>
      </c>
      <c r="G13" s="24">
        <f>(E13-D13)*24</f>
        <v/>
      </c>
      <c r="H13" s="24">
        <f>(F13-E13)*24</f>
        <v/>
      </c>
      <c r="I13" s="23" t="inlineStr">
        <is>
          <t>–</t>
        </is>
      </c>
      <c r="J13" s="23" t="inlineStr"/>
    </row>
    <row r="14">
      <c r="A14" s="5" t="inlineStr">
        <is>
          <t>20D</t>
        </is>
      </c>
      <c r="B14" s="5" t="inlineStr">
        <is>
          <t>WAN HAI 172</t>
        </is>
      </c>
      <c r="C14" s="23" t="n">
        <v>565</v>
      </c>
      <c r="D14" s="11" t="n">
        <v>46311.04166666666</v>
      </c>
      <c r="E14" s="11" t="n">
        <v>46311.29166666666</v>
      </c>
      <c r="F14" s="11" t="n">
        <v>46312.625</v>
      </c>
      <c r="G14" s="24">
        <f>(E14-D14)*24</f>
        <v/>
      </c>
      <c r="H14" s="24">
        <f>(F14-E14)*24</f>
        <v/>
      </c>
      <c r="I14" s="23" t="inlineStr">
        <is>
          <t>–</t>
        </is>
      </c>
      <c r="J14" s="23" t="inlineStr"/>
    </row>
    <row r="15">
      <c r="A15" s="5" t="inlineStr">
        <is>
          <t>20D</t>
        </is>
      </c>
      <c r="B15" s="5" t="inlineStr">
        <is>
          <t>JARU BHUM</t>
        </is>
      </c>
      <c r="C15" s="23" t="n">
        <v>564</v>
      </c>
      <c r="D15" s="11" t="n">
        <v>46312.75</v>
      </c>
      <c r="E15" s="11" t="n">
        <v>46312.75</v>
      </c>
      <c r="F15" s="11" t="n">
        <v>46313.45833333334</v>
      </c>
      <c r="G15" s="24">
        <f>(E15-D15)*24</f>
        <v/>
      </c>
      <c r="H15" s="24">
        <f>(F15-E15)*24</f>
        <v/>
      </c>
      <c r="I15" s="23" t="inlineStr">
        <is>
          <t>7B</t>
        </is>
      </c>
      <c r="J15" s="23" t="inlineStr"/>
    </row>
    <row r="16">
      <c r="A16" s="5" t="inlineStr">
        <is>
          <t>20D</t>
        </is>
      </c>
      <c r="B16" s="5" t="inlineStr">
        <is>
          <t>MITRA BHUM</t>
        </is>
      </c>
      <c r="C16" s="23" t="n">
        <v>485</v>
      </c>
      <c r="D16" s="11" t="n">
        <v>46314.95833333334</v>
      </c>
      <c r="E16" s="11" t="n">
        <v>46315.375</v>
      </c>
      <c r="F16" s="11" t="n">
        <v>46316.33333333334</v>
      </c>
      <c r="G16" s="24">
        <f>(E16-D16)*24</f>
        <v/>
      </c>
      <c r="H16" s="24">
        <f>(F16-E16)*24</f>
        <v/>
      </c>
      <c r="I16" s="23" t="inlineStr">
        <is>
          <t>–</t>
        </is>
      </c>
      <c r="J16" s="23" t="inlineStr"/>
    </row>
    <row r="17">
      <c r="A17" s="5" t="inlineStr">
        <is>
          <t>20F</t>
        </is>
      </c>
      <c r="B17" s="5" t="inlineStr">
        <is>
          <t>SAWASDEE INCHEON</t>
        </is>
      </c>
      <c r="C17" s="23" t="n">
        <v>564</v>
      </c>
      <c r="D17" s="11" t="n">
        <v>46308.625</v>
      </c>
      <c r="E17" s="11" t="n">
        <v>46309.25</v>
      </c>
      <c r="F17" s="11" t="n">
        <v>46311.25</v>
      </c>
      <c r="G17" s="24">
        <f>(E17-D17)*24</f>
        <v/>
      </c>
      <c r="H17" s="24">
        <f>(F17-E17)*24</f>
        <v/>
      </c>
      <c r="I17" s="23" t="inlineStr">
        <is>
          <t>–</t>
        </is>
      </c>
      <c r="J17" s="23" t="inlineStr"/>
    </row>
    <row r="18">
      <c r="A18" s="5" t="inlineStr">
        <is>
          <t>20F</t>
        </is>
      </c>
      <c r="B18" s="5" t="inlineStr">
        <is>
          <t>INGENUITY</t>
        </is>
      </c>
      <c r="C18" s="23" t="n">
        <v>564</v>
      </c>
      <c r="D18" s="11" t="n">
        <v>46311.95833333334</v>
      </c>
      <c r="E18" s="11" t="n">
        <v>46312.33333333334</v>
      </c>
      <c r="F18" s="11" t="n">
        <v>46313.29166666666</v>
      </c>
      <c r="G18" s="24">
        <f>(E18-D18)*24</f>
        <v/>
      </c>
      <c r="H18" s="24">
        <f>(F18-E18)*24</f>
        <v/>
      </c>
      <c r="I18" s="23" t="inlineStr">
        <is>
          <t>–</t>
        </is>
      </c>
      <c r="J18" s="23" t="inlineStr"/>
    </row>
    <row r="19">
      <c r="A19" s="5" t="inlineStr">
        <is>
          <t>20F</t>
        </is>
      </c>
      <c r="B19" s="5" t="inlineStr">
        <is>
          <t>KMTC JAKARTA</t>
        </is>
      </c>
      <c r="C19" s="23" t="n">
        <v>564</v>
      </c>
      <c r="D19" s="11" t="n">
        <v>46313.83333333334</v>
      </c>
      <c r="E19" s="11" t="n">
        <v>46313.83333333334</v>
      </c>
      <c r="F19" s="11" t="n">
        <v>46315.33333333334</v>
      </c>
      <c r="G19" s="24">
        <f>(E19-D19)*24</f>
        <v/>
      </c>
      <c r="H19" s="24">
        <f>(F19-E19)*24</f>
        <v/>
      </c>
      <c r="I19" s="23" t="inlineStr">
        <is>
          <t>–</t>
        </is>
      </c>
      <c r="J19" s="23" t="inlineStr"/>
    </row>
    <row r="22">
      <c r="A22" s="34" t="inlineStr">
        <is>
          <t>Berth &amp; gate notices on this sheet</t>
        </is>
      </c>
    </row>
    <row r="23">
      <c r="A23" s="3" t="inlineStr">
        <is>
          <t>Berth / Gate</t>
        </is>
      </c>
      <c r="B23" s="3" t="inlineStr">
        <is>
          <t>Type</t>
        </is>
      </c>
      <c r="C23" s="3" t="n"/>
      <c r="D23" s="3" t="inlineStr">
        <is>
          <t>From</t>
        </is>
      </c>
      <c r="E23" s="3" t="inlineStr">
        <is>
          <t>To</t>
        </is>
      </c>
      <c r="F23" s="3" t="inlineStr">
        <is>
          <t>Notice / change vs previous sheet</t>
        </is>
      </c>
      <c r="G23" s="35" t="n"/>
      <c r="H23" s="35" t="n"/>
      <c r="I23" s="35" t="n"/>
      <c r="J23" s="36" t="n"/>
    </row>
    <row r="24" ht="42" customHeight="1">
      <c r="A24" s="16" t="inlineStr">
        <is>
          <t>20D</t>
        </is>
      </c>
      <c r="B24" s="16" t="inlineStr">
        <is>
          <t>Berth closed</t>
        </is>
      </c>
      <c r="C24" s="38" t="n"/>
      <c r="D24" s="17" t="inlineStr">
        <is>
          <t>–</t>
        </is>
      </c>
      <c r="E24" s="17" t="inlineStr">
        <is>
          <t>–</t>
        </is>
      </c>
      <c r="F24" s="16" t="inlineStr">
        <is>
          <t>(no longer printed – 20D now has vessels booked and berthing)  —  Dropped from sheet: the 4–24 Oct closure notice is gone, so the vessel bookings no longer conflict</t>
        </is>
      </c>
      <c r="G24" s="38" t="n"/>
      <c r="H24" s="38" t="n"/>
      <c r="I24" s="38" t="n"/>
      <c r="J24" s="38" t="n"/>
    </row>
    <row r="25" ht="42" customHeight="1">
      <c r="A25" s="16" t="inlineStr">
        <is>
          <t>20E</t>
        </is>
      </c>
      <c r="B25" s="16" t="inlineStr">
        <is>
          <t>Berth closed</t>
        </is>
      </c>
      <c r="C25" s="38" t="n"/>
      <c r="D25" s="18" t="n">
        <v>46300</v>
      </c>
      <c r="E25" s="18" t="n">
        <v>46315</v>
      </c>
      <c r="F25" s="16" t="inlineStr">
        <is>
          <t>CLOSE (Oct 5–20 2026) printed under 20E; earlier sheets said G.25 stops working 5–18 Oct to change trolley rail  —  Changed: gate stoppage 5–18 Oct became a berth CLOSE 5–20 Oct</t>
        </is>
      </c>
      <c r="G25" s="38" t="n"/>
      <c r="H25" s="38" t="n"/>
      <c r="I25" s="38" t="n"/>
      <c r="J25" s="38" t="n"/>
    </row>
  </sheetData>
  <mergeCells count="3">
    <mergeCell ref="F24:J24"/>
    <mergeCell ref="F25:J25"/>
    <mergeCell ref="F23:J23"/>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J22"/>
  <sheetViews>
    <sheetView workbookViewId="0">
      <pane ySplit="3" topLeftCell="A4" activePane="bottomLeft" state="frozen"/>
      <selection pane="bottomLeft" activeCell="A1" sqref="A1"/>
    </sheetView>
  </sheetViews>
  <sheetFormatPr baseColWidth="8" defaultRowHeight="15"/>
  <cols>
    <col width="10" customWidth="1" min="1" max="1"/>
    <col width="20" customWidth="1" min="2" max="2"/>
    <col width="10" customWidth="1" min="3" max="3"/>
    <col width="16" customWidth="1" min="4" max="4"/>
    <col width="16" customWidth="1" min="5" max="5"/>
    <col width="16" customWidth="1" min="6" max="6"/>
    <col width="18" customWidth="1" min="7" max="7"/>
    <col width="16" customWidth="1" min="8" max="8"/>
    <col width="10" customWidth="1" min="9" max="9"/>
    <col width="10" customWidth="1" min="10" max="10"/>
  </cols>
  <sheetData>
    <row r="1">
      <c r="A1" s="1" t="inlineStr">
        <is>
          <t>PAT Berth Window — Vessel List by Berth — Sheet dated 16 Oct 2026</t>
        </is>
      </c>
    </row>
    <row r="3">
      <c r="A3" s="3" t="inlineStr">
        <is>
          <t>Berth</t>
        </is>
      </c>
      <c r="B3" s="3" t="inlineStr">
        <is>
          <t>Vessel</t>
        </is>
      </c>
      <c r="C3" s="3" t="inlineStr">
        <is>
          <t>LOA (m)</t>
        </is>
      </c>
      <c r="D3" s="3" t="inlineStr">
        <is>
          <t>ETA</t>
        </is>
      </c>
      <c r="E3" s="3" t="inlineStr">
        <is>
          <t>P.B</t>
        </is>
      </c>
      <c r="F3" s="3" t="inlineStr">
        <is>
          <t>ETD</t>
        </is>
      </c>
      <c r="G3" s="3" t="inlineStr">
        <is>
          <t>Waiting for Berth (h)</t>
        </is>
      </c>
      <c r="H3" s="3" t="inlineStr">
        <is>
          <t>Hours Alongside</t>
        </is>
      </c>
      <c r="I3" s="3" t="inlineStr">
        <is>
          <t>Shift</t>
        </is>
      </c>
      <c r="J3" s="3" t="inlineStr">
        <is>
          <t>Marked</t>
        </is>
      </c>
    </row>
    <row r="4">
      <c r="A4" s="5" t="inlineStr">
        <is>
          <t>20AB</t>
        </is>
      </c>
      <c r="B4" s="5" t="inlineStr">
        <is>
          <t>WAN HAI 176</t>
        </is>
      </c>
      <c r="C4" s="23" t="n">
        <v>564</v>
      </c>
      <c r="D4" s="11" t="n">
        <v>46310.33333333334</v>
      </c>
      <c r="E4" s="11" t="n">
        <v>46310.375</v>
      </c>
      <c r="F4" s="11" t="n">
        <v>46311.66666666666</v>
      </c>
      <c r="G4" s="24">
        <f>(E4-D4)*24</f>
        <v/>
      </c>
      <c r="H4" s="24">
        <f>(F4-E4)*24</f>
        <v/>
      </c>
      <c r="I4" s="23" t="inlineStr">
        <is>
          <t>–</t>
        </is>
      </c>
      <c r="J4" s="23" t="inlineStr"/>
    </row>
    <row r="5">
      <c r="A5" s="5" t="inlineStr">
        <is>
          <t>20AB</t>
        </is>
      </c>
      <c r="B5" s="5" t="inlineStr">
        <is>
          <t>BANGKOK</t>
        </is>
      </c>
      <c r="C5" s="23" t="n">
        <v>551</v>
      </c>
      <c r="D5" s="11" t="n">
        <v>46311.875</v>
      </c>
      <c r="E5" s="11" t="n">
        <v>46312.375</v>
      </c>
      <c r="F5" s="11" t="n">
        <v>46313.66666666666</v>
      </c>
      <c r="G5" s="24">
        <f>(E5-D5)*24</f>
        <v/>
      </c>
      <c r="H5" s="24">
        <f>(F5-E5)*24</f>
        <v/>
      </c>
      <c r="I5" s="23" t="inlineStr">
        <is>
          <t>–</t>
        </is>
      </c>
      <c r="J5" s="23" t="inlineStr"/>
    </row>
    <row r="6">
      <c r="A6" s="5" t="inlineStr">
        <is>
          <t>20AB</t>
        </is>
      </c>
      <c r="B6" s="5" t="inlineStr">
        <is>
          <t>MITRA BHUM</t>
        </is>
      </c>
      <c r="C6" s="23" t="n">
        <v>485</v>
      </c>
      <c r="D6" s="11" t="n">
        <v>46314.95833333334</v>
      </c>
      <c r="E6" s="11" t="n">
        <v>46315.375</v>
      </c>
      <c r="F6" s="11" t="n">
        <v>46316.33333333334</v>
      </c>
      <c r="G6" s="24">
        <f>(E6-D6)*24</f>
        <v/>
      </c>
      <c r="H6" s="24">
        <f>(F6-E6)*24</f>
        <v/>
      </c>
      <c r="I6" s="23" t="inlineStr">
        <is>
          <t>–</t>
        </is>
      </c>
      <c r="J6" s="23" t="inlineStr"/>
    </row>
    <row r="7">
      <c r="A7" s="5" t="inlineStr">
        <is>
          <t>20B</t>
        </is>
      </c>
      <c r="B7" s="5" t="inlineStr">
        <is>
          <t>TS CHIBA</t>
        </is>
      </c>
      <c r="C7" s="23" t="n">
        <v>485</v>
      </c>
      <c r="D7" s="11" t="n">
        <v>46311.58333333334</v>
      </c>
      <c r="E7" s="11" t="n">
        <v>46311.58333333334</v>
      </c>
      <c r="F7" s="11" t="n">
        <v>46312.5</v>
      </c>
      <c r="G7" s="24">
        <f>(E7-D7)*24</f>
        <v/>
      </c>
      <c r="H7" s="24">
        <f>(F7-E7)*24</f>
        <v/>
      </c>
      <c r="I7" s="23" t="inlineStr">
        <is>
          <t>–</t>
        </is>
      </c>
      <c r="J7" s="23" t="inlineStr"/>
    </row>
    <row r="8">
      <c r="A8" s="5" t="inlineStr">
        <is>
          <t>20B</t>
        </is>
      </c>
      <c r="B8" s="5" t="inlineStr">
        <is>
          <t>JARU BHUM</t>
        </is>
      </c>
      <c r="C8" s="23" t="n">
        <v>564</v>
      </c>
      <c r="D8" s="11" t="n">
        <v>46312.66666666666</v>
      </c>
      <c r="E8" s="11" t="n">
        <v>46312.66666666666</v>
      </c>
      <c r="F8" s="11" t="n">
        <v>46313.45833333334</v>
      </c>
      <c r="G8" s="24">
        <f>(E8-D8)*24</f>
        <v/>
      </c>
      <c r="H8" s="24">
        <f>(F8-E8)*24</f>
        <v/>
      </c>
      <c r="I8" s="23" t="inlineStr">
        <is>
          <t>7B</t>
        </is>
      </c>
      <c r="J8" s="23" t="inlineStr"/>
    </row>
    <row r="9">
      <c r="A9" s="5" t="inlineStr">
        <is>
          <t>20C</t>
        </is>
      </c>
      <c r="B9" s="5" t="inlineStr">
        <is>
          <t>WAN HAI 175</t>
        </is>
      </c>
      <c r="C9" s="23" t="n">
        <v>565</v>
      </c>
      <c r="D9" s="11" t="n">
        <v>46309.875</v>
      </c>
      <c r="E9" s="11" t="n">
        <v>46310.29166666666</v>
      </c>
      <c r="F9" s="11" t="n">
        <v>46311.625</v>
      </c>
      <c r="G9" s="24">
        <f>(E9-D9)*24</f>
        <v/>
      </c>
      <c r="H9" s="24">
        <f>(F9-E9)*24</f>
        <v/>
      </c>
      <c r="I9" s="23" t="inlineStr">
        <is>
          <t>–</t>
        </is>
      </c>
      <c r="J9" s="23" t="inlineStr"/>
    </row>
    <row r="10">
      <c r="A10" s="5" t="inlineStr">
        <is>
          <t>20C</t>
        </is>
      </c>
      <c r="B10" s="5" t="inlineStr">
        <is>
          <t>LITTLE DOLPHIN</t>
        </is>
      </c>
      <c r="C10" s="23" t="n">
        <v>564</v>
      </c>
      <c r="D10" s="11" t="n">
        <v>46311.79166666666</v>
      </c>
      <c r="E10" s="11" t="n">
        <v>46312.33333333334</v>
      </c>
      <c r="F10" s="11" t="n">
        <v>46313.66666666666</v>
      </c>
      <c r="G10" s="24">
        <f>(E10-D10)*24</f>
        <v/>
      </c>
      <c r="H10" s="24">
        <f>(F10-E10)*24</f>
        <v/>
      </c>
      <c r="I10" s="23" t="inlineStr">
        <is>
          <t>–</t>
        </is>
      </c>
      <c r="J10" s="23" t="inlineStr"/>
    </row>
    <row r="11">
      <c r="A11" s="5" t="inlineStr">
        <is>
          <t>20C</t>
        </is>
      </c>
      <c r="B11" s="5" t="inlineStr">
        <is>
          <t>CAPE FAWLEY</t>
        </is>
      </c>
      <c r="C11" s="23" t="n">
        <v>558</v>
      </c>
      <c r="D11" s="11" t="n">
        <v>46314.75</v>
      </c>
      <c r="E11" s="11" t="n">
        <v>46314.75</v>
      </c>
      <c r="F11" s="11" t="n">
        <v>46316.45833333334</v>
      </c>
      <c r="G11" s="24">
        <f>(E11-D11)*24</f>
        <v/>
      </c>
      <c r="H11" s="24">
        <f>(F11-E11)*24</f>
        <v/>
      </c>
      <c r="I11" s="23" t="inlineStr">
        <is>
          <t>–</t>
        </is>
      </c>
      <c r="J11" s="23" t="inlineStr"/>
    </row>
    <row r="12">
      <c r="A12" s="5" t="inlineStr">
        <is>
          <t>20D</t>
        </is>
      </c>
      <c r="B12" s="5" t="inlineStr">
        <is>
          <t>WAN HAI 172</t>
        </is>
      </c>
      <c r="C12" s="23" t="n">
        <v>565</v>
      </c>
      <c r="D12" s="11" t="n">
        <v>46311.04166666666</v>
      </c>
      <c r="E12" s="11" t="n">
        <v>46311.29166666666</v>
      </c>
      <c r="F12" s="11" t="n">
        <v>46312.33333333334</v>
      </c>
      <c r="G12" s="24">
        <f>(E12-D12)*24</f>
        <v/>
      </c>
      <c r="H12" s="24">
        <f>(F12-E12)*24</f>
        <v/>
      </c>
      <c r="I12" s="23" t="inlineStr">
        <is>
          <t>–</t>
        </is>
      </c>
      <c r="J12" s="23" t="inlineStr"/>
    </row>
    <row r="13">
      <c r="A13" s="5" t="inlineStr">
        <is>
          <t>20D</t>
        </is>
      </c>
      <c r="B13" s="5" t="inlineStr">
        <is>
          <t>INFINITY</t>
        </is>
      </c>
      <c r="C13" s="23" t="n">
        <v>565</v>
      </c>
      <c r="D13" s="11" t="n">
        <v>46313.25</v>
      </c>
      <c r="E13" s="11" t="n">
        <v>46313.29166666666</v>
      </c>
      <c r="F13" s="11" t="n">
        <v>46314.41666666666</v>
      </c>
      <c r="G13" s="24">
        <f>(E13-D13)*24</f>
        <v/>
      </c>
      <c r="H13" s="24">
        <f>(F13-E13)*24</f>
        <v/>
      </c>
      <c r="I13" s="23" t="inlineStr">
        <is>
          <t>–</t>
        </is>
      </c>
      <c r="J13" s="23" t="inlineStr"/>
    </row>
    <row r="14">
      <c r="A14" s="5" t="inlineStr">
        <is>
          <t>20F</t>
        </is>
      </c>
      <c r="B14" s="5" t="inlineStr">
        <is>
          <t>PUNNYA NAVEE</t>
        </is>
      </c>
      <c r="C14" s="23" t="n">
        <v>304</v>
      </c>
      <c r="D14" s="11" t="n">
        <v>46311.625</v>
      </c>
      <c r="E14" s="11" t="n">
        <v>46311.625</v>
      </c>
      <c r="F14" s="11" t="n">
        <v>46312.25</v>
      </c>
      <c r="G14" s="24">
        <f>(E14-D14)*24</f>
        <v/>
      </c>
      <c r="H14" s="24">
        <f>(F14-E14)*24</f>
        <v/>
      </c>
      <c r="I14" s="23" t="inlineStr">
        <is>
          <t>–</t>
        </is>
      </c>
      <c r="J14" s="23" t="inlineStr"/>
    </row>
    <row r="15">
      <c r="A15" s="5" t="inlineStr">
        <is>
          <t>20F</t>
        </is>
      </c>
      <c r="B15" s="5" t="inlineStr">
        <is>
          <t>INGENUITY</t>
        </is>
      </c>
      <c r="C15" s="23" t="n">
        <v>564</v>
      </c>
      <c r="D15" s="11" t="n">
        <v>46311.95833333334</v>
      </c>
      <c r="E15" s="11" t="n">
        <v>46312.33333333334</v>
      </c>
      <c r="F15" s="11" t="n">
        <v>46313.29166666666</v>
      </c>
      <c r="G15" s="24">
        <f>(E15-D15)*24</f>
        <v/>
      </c>
      <c r="H15" s="24">
        <f>(F15-E15)*24</f>
        <v/>
      </c>
      <c r="I15" s="23" t="inlineStr">
        <is>
          <t>–</t>
        </is>
      </c>
      <c r="J15" s="23" t="inlineStr"/>
    </row>
    <row r="16">
      <c r="A16" s="5" t="inlineStr">
        <is>
          <t>20F</t>
        </is>
      </c>
      <c r="B16" s="5" t="inlineStr">
        <is>
          <t>XIN MING ZHOU 108</t>
        </is>
      </c>
      <c r="C16" s="23" t="n">
        <v>564</v>
      </c>
      <c r="D16" s="11" t="n">
        <v>46312.41666666666</v>
      </c>
      <c r="E16" s="11" t="n">
        <v>46313.33333333334</v>
      </c>
      <c r="F16" s="11" t="n">
        <v>46314.29166666666</v>
      </c>
      <c r="G16" s="24">
        <f>(E16-D16)*24</f>
        <v/>
      </c>
      <c r="H16" s="24">
        <f>(F16-E16)*24</f>
        <v/>
      </c>
      <c r="I16" s="23" t="inlineStr">
        <is>
          <t>–</t>
        </is>
      </c>
      <c r="J16" s="23" t="inlineStr"/>
    </row>
    <row r="17">
      <c r="A17" s="5" t="inlineStr">
        <is>
          <t>20F</t>
        </is>
      </c>
      <c r="B17" s="5" t="inlineStr">
        <is>
          <t>KMTC JAKARTA</t>
        </is>
      </c>
      <c r="C17" s="23" t="n">
        <v>564</v>
      </c>
      <c r="D17" s="11" t="n">
        <v>46314.29166666666</v>
      </c>
      <c r="E17" s="11" t="n">
        <v>46314.375</v>
      </c>
      <c r="F17" s="11" t="n">
        <v>46315.70833333334</v>
      </c>
      <c r="G17" s="24">
        <f>(E17-D17)*24</f>
        <v/>
      </c>
      <c r="H17" s="24">
        <f>(F17-E17)*24</f>
        <v/>
      </c>
      <c r="I17" s="23" t="inlineStr">
        <is>
          <t>–</t>
        </is>
      </c>
      <c r="J17" s="23" t="inlineStr"/>
    </row>
    <row r="20">
      <c r="A20" s="34" t="inlineStr">
        <is>
          <t>Berth &amp; gate notices on this sheet</t>
        </is>
      </c>
    </row>
    <row r="21">
      <c r="A21" s="3" t="inlineStr">
        <is>
          <t>Berth / Gate</t>
        </is>
      </c>
      <c r="B21" s="3" t="inlineStr">
        <is>
          <t>Type</t>
        </is>
      </c>
      <c r="C21" s="3" t="n"/>
      <c r="D21" s="3" t="inlineStr">
        <is>
          <t>From</t>
        </is>
      </c>
      <c r="E21" s="3" t="inlineStr">
        <is>
          <t>To</t>
        </is>
      </c>
      <c r="F21" s="3" t="inlineStr">
        <is>
          <t>Notice / change vs previous sheet</t>
        </is>
      </c>
      <c r="G21" s="35" t="n"/>
      <c r="H21" s="35" t="n"/>
      <c r="I21" s="35" t="n"/>
      <c r="J21" s="36" t="n"/>
    </row>
    <row r="22" ht="42" customHeight="1">
      <c r="A22" s="16" t="inlineStr">
        <is>
          <t>20E</t>
        </is>
      </c>
      <c r="B22" s="16" t="inlineStr">
        <is>
          <t>Berth closed</t>
        </is>
      </c>
      <c r="C22" s="38" t="n"/>
      <c r="D22" s="18" t="n">
        <v>46300</v>
      </c>
      <c r="E22" s="18" t="n">
        <v>46315</v>
      </c>
      <c r="F22" s="16" t="inlineStr">
        <is>
          <t>CLOSE (Oct 5–20 2026) printed under 20E  —  Unchanged</t>
        </is>
      </c>
      <c r="G22" s="38" t="n"/>
      <c r="H22" s="38" t="n"/>
      <c r="I22" s="38" t="n"/>
      <c r="J22" s="38" t="n"/>
    </row>
  </sheetData>
  <mergeCells count="2">
    <mergeCell ref="F22:J22"/>
    <mergeCell ref="F21:J21"/>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J17"/>
  <sheetViews>
    <sheetView workbookViewId="0">
      <pane ySplit="3" topLeftCell="A4" activePane="bottomLeft" state="frozen"/>
      <selection pane="bottomLeft" activeCell="A1" sqref="A1"/>
    </sheetView>
  </sheetViews>
  <sheetFormatPr baseColWidth="8" defaultRowHeight="15"/>
  <cols>
    <col width="10" customWidth="1" min="1" max="1"/>
    <col width="20" customWidth="1" min="2" max="2"/>
    <col width="10" customWidth="1" min="3" max="3"/>
    <col width="16" customWidth="1" min="4" max="4"/>
    <col width="16" customWidth="1" min="5" max="5"/>
    <col width="16" customWidth="1" min="6" max="6"/>
    <col width="18" customWidth="1" min="7" max="7"/>
    <col width="16" customWidth="1" min="8" max="8"/>
    <col width="10" customWidth="1" min="9" max="9"/>
    <col width="10" customWidth="1" min="10" max="10"/>
  </cols>
  <sheetData>
    <row r="1">
      <c r="A1" s="1" t="inlineStr">
        <is>
          <t>PAT Berth Window — Vessel List by Berth — Sheet dated 17 Oct 2026</t>
        </is>
      </c>
    </row>
    <row r="3">
      <c r="A3" s="3" t="inlineStr">
        <is>
          <t>Berth</t>
        </is>
      </c>
      <c r="B3" s="3" t="inlineStr">
        <is>
          <t>Vessel</t>
        </is>
      </c>
      <c r="C3" s="3" t="inlineStr">
        <is>
          <t>LOA (m)</t>
        </is>
      </c>
      <c r="D3" s="3" t="inlineStr">
        <is>
          <t>ETA</t>
        </is>
      </c>
      <c r="E3" s="3" t="inlineStr">
        <is>
          <t>P.B</t>
        </is>
      </c>
      <c r="F3" s="3" t="inlineStr">
        <is>
          <t>ETD</t>
        </is>
      </c>
      <c r="G3" s="3" t="inlineStr">
        <is>
          <t>Waiting for Berth (h)</t>
        </is>
      </c>
      <c r="H3" s="3" t="inlineStr">
        <is>
          <t>Hours Alongside</t>
        </is>
      </c>
      <c r="I3" s="3" t="inlineStr">
        <is>
          <t>Shift</t>
        </is>
      </c>
      <c r="J3" s="3" t="inlineStr">
        <is>
          <t>Marked</t>
        </is>
      </c>
    </row>
    <row r="4">
      <c r="A4" s="5" t="inlineStr">
        <is>
          <t>20AB</t>
        </is>
      </c>
      <c r="B4" s="5" t="inlineStr">
        <is>
          <t>BANGKOK</t>
        </is>
      </c>
      <c r="C4" s="23" t="n">
        <v>551</v>
      </c>
      <c r="D4" s="11" t="n">
        <v>46311.625</v>
      </c>
      <c r="E4" s="11" t="n">
        <v>46312.375</v>
      </c>
      <c r="F4" s="11" t="n">
        <v>46313.66666666666</v>
      </c>
      <c r="G4" s="24">
        <f>(E4-D4)*24</f>
        <v/>
      </c>
      <c r="H4" s="24">
        <f>(F4-E4)*24</f>
        <v/>
      </c>
      <c r="I4" s="23" t="inlineStr">
        <is>
          <t>–</t>
        </is>
      </c>
      <c r="J4" s="23" t="inlineStr"/>
    </row>
    <row r="5">
      <c r="A5" s="5" t="inlineStr">
        <is>
          <t>20B</t>
        </is>
      </c>
      <c r="B5" s="5" t="inlineStr">
        <is>
          <t>TS CHIBA</t>
        </is>
      </c>
      <c r="C5" s="23" t="n">
        <v>485</v>
      </c>
      <c r="D5" s="11" t="n">
        <v>46311.58333333334</v>
      </c>
      <c r="E5" s="11" t="n">
        <v>46311.58333333334</v>
      </c>
      <c r="F5" s="11" t="n">
        <v>46312.45833333334</v>
      </c>
      <c r="G5" s="24">
        <f>(E5-D5)*24</f>
        <v/>
      </c>
      <c r="H5" s="24">
        <f>(F5-E5)*24</f>
        <v/>
      </c>
      <c r="I5" s="23" t="inlineStr">
        <is>
          <t>–</t>
        </is>
      </c>
      <c r="J5" s="23" t="inlineStr"/>
    </row>
    <row r="6">
      <c r="A6" s="5" t="inlineStr">
        <is>
          <t>20B</t>
        </is>
      </c>
      <c r="B6" s="5" t="inlineStr">
        <is>
          <t>JARU BHUM</t>
        </is>
      </c>
      <c r="C6" s="23" t="n">
        <v>564</v>
      </c>
      <c r="D6" s="11" t="n">
        <v>46312.66666666666</v>
      </c>
      <c r="E6" s="11" t="n">
        <v>46312.66666666666</v>
      </c>
      <c r="F6" s="11" t="n">
        <v>46313.45833333334</v>
      </c>
      <c r="G6" s="24">
        <f>(E6-D6)*24</f>
        <v/>
      </c>
      <c r="H6" s="24">
        <f>(F6-E6)*24</f>
        <v/>
      </c>
      <c r="I6" s="23" t="inlineStr">
        <is>
          <t>7B</t>
        </is>
      </c>
      <c r="J6" s="23" t="inlineStr"/>
    </row>
    <row r="7">
      <c r="A7" s="5" t="inlineStr">
        <is>
          <t>20C</t>
        </is>
      </c>
      <c r="B7" s="5" t="inlineStr">
        <is>
          <t>LITTLE DOLPHIN</t>
        </is>
      </c>
      <c r="C7" s="23" t="n">
        <v>564</v>
      </c>
      <c r="D7" s="11" t="n">
        <v>46312.04166666666</v>
      </c>
      <c r="E7" s="11" t="n">
        <v>46312.33333333334</v>
      </c>
      <c r="F7" s="11" t="n">
        <v>46313.66666666666</v>
      </c>
      <c r="G7" s="24">
        <f>(E7-D7)*24</f>
        <v/>
      </c>
      <c r="H7" s="24">
        <f>(F7-E7)*24</f>
        <v/>
      </c>
      <c r="I7" s="23" t="inlineStr">
        <is>
          <t>–</t>
        </is>
      </c>
      <c r="J7" s="23" t="inlineStr"/>
    </row>
    <row r="8">
      <c r="A8" s="5" t="inlineStr">
        <is>
          <t>20D</t>
        </is>
      </c>
      <c r="B8" s="5" t="inlineStr">
        <is>
          <t>PUNNYA NAVEE</t>
        </is>
      </c>
      <c r="C8" s="23" t="n">
        <v>304</v>
      </c>
      <c r="D8" s="11" t="n">
        <v>46311.75</v>
      </c>
      <c r="E8" s="11" t="n">
        <v>46312.125</v>
      </c>
      <c r="F8" s="11" t="n">
        <v>46312.625</v>
      </c>
      <c r="G8" s="24">
        <f>(E8-D8)*24</f>
        <v/>
      </c>
      <c r="H8" s="24">
        <f>(F8-E8)*24</f>
        <v/>
      </c>
      <c r="I8" s="23" t="inlineStr">
        <is>
          <t>–</t>
        </is>
      </c>
      <c r="J8" s="23" t="inlineStr"/>
    </row>
    <row r="9">
      <c r="A9" s="5" t="inlineStr">
        <is>
          <t>20D</t>
        </is>
      </c>
      <c r="B9" s="5" t="inlineStr">
        <is>
          <t>INFINITY</t>
        </is>
      </c>
      <c r="C9" s="23" t="n">
        <v>565</v>
      </c>
      <c r="D9" s="11" t="n">
        <v>46313</v>
      </c>
      <c r="E9" s="11" t="n">
        <v>46313.29166666666</v>
      </c>
      <c r="F9" s="11" t="n">
        <v>46314.41666666666</v>
      </c>
      <c r="G9" s="24">
        <f>(E9-D9)*24</f>
        <v/>
      </c>
      <c r="H9" s="24">
        <f>(F9-E9)*24</f>
        <v/>
      </c>
      <c r="I9" s="23" t="inlineStr">
        <is>
          <t>–</t>
        </is>
      </c>
      <c r="J9" s="23" t="inlineStr"/>
    </row>
    <row r="10">
      <c r="A10" s="5" t="inlineStr">
        <is>
          <t>20F</t>
        </is>
      </c>
      <c r="B10" s="5" t="inlineStr">
        <is>
          <t>INGENUITY</t>
        </is>
      </c>
      <c r="C10" s="23" t="n">
        <v>564</v>
      </c>
      <c r="D10" s="11" t="n">
        <v>46311.95833333334</v>
      </c>
      <c r="E10" s="11" t="n">
        <v>46312.33333333334</v>
      </c>
      <c r="F10" s="11" t="n">
        <v>46313.29166666666</v>
      </c>
      <c r="G10" s="24">
        <f>(E10-D10)*24</f>
        <v/>
      </c>
      <c r="H10" s="24">
        <f>(F10-E10)*24</f>
        <v/>
      </c>
      <c r="I10" s="23" t="inlineStr">
        <is>
          <t>–</t>
        </is>
      </c>
      <c r="J10" s="23" t="inlineStr"/>
    </row>
    <row r="11">
      <c r="A11" s="5" t="inlineStr">
        <is>
          <t>20F</t>
        </is>
      </c>
      <c r="B11" s="5" t="inlineStr">
        <is>
          <t>XIN MING ZHOU 108</t>
        </is>
      </c>
      <c r="C11" s="23" t="n">
        <v>564</v>
      </c>
      <c r="D11" s="11" t="n">
        <v>46312.41666666666</v>
      </c>
      <c r="E11" s="11" t="n">
        <v>46313.33333333334</v>
      </c>
      <c r="F11" s="11" t="n">
        <v>46314.29166666666</v>
      </c>
      <c r="G11" s="24">
        <f>(E11-D11)*24</f>
        <v/>
      </c>
      <c r="H11" s="24">
        <f>(F11-E11)*24</f>
        <v/>
      </c>
      <c r="I11" s="23" t="inlineStr">
        <is>
          <t>–</t>
        </is>
      </c>
      <c r="J11" s="23" t="inlineStr"/>
    </row>
    <row r="12">
      <c r="A12" s="5" t="inlineStr">
        <is>
          <t>20F</t>
        </is>
      </c>
      <c r="B12" s="5" t="inlineStr">
        <is>
          <t>KMTC JAKARTA</t>
        </is>
      </c>
      <c r="C12" s="23" t="n">
        <v>564</v>
      </c>
      <c r="D12" s="11" t="n">
        <v>46314.33333333334</v>
      </c>
      <c r="E12" s="11" t="n">
        <v>46314.375</v>
      </c>
      <c r="F12" s="11" t="n">
        <v>46315.70833333334</v>
      </c>
      <c r="G12" s="24">
        <f>(E12-D12)*24</f>
        <v/>
      </c>
      <c r="H12" s="24">
        <f>(F12-E12)*24</f>
        <v/>
      </c>
      <c r="I12" s="23" t="inlineStr">
        <is>
          <t>–</t>
        </is>
      </c>
      <c r="J12" s="23" t="inlineStr"/>
    </row>
    <row r="15">
      <c r="A15" s="34" t="inlineStr">
        <is>
          <t>Berth &amp; gate notices on this sheet</t>
        </is>
      </c>
    </row>
    <row r="16">
      <c r="A16" s="3" t="inlineStr">
        <is>
          <t>Berth / Gate</t>
        </is>
      </c>
      <c r="B16" s="3" t="inlineStr">
        <is>
          <t>Type</t>
        </is>
      </c>
      <c r="C16" s="3" t="n"/>
      <c r="D16" s="3" t="inlineStr">
        <is>
          <t>From</t>
        </is>
      </c>
      <c r="E16" s="3" t="inlineStr">
        <is>
          <t>To</t>
        </is>
      </c>
      <c r="F16" s="3" t="inlineStr">
        <is>
          <t>Notice / change vs previous sheet</t>
        </is>
      </c>
      <c r="G16" s="35" t="n"/>
      <c r="H16" s="35" t="n"/>
      <c r="I16" s="35" t="n"/>
      <c r="J16" s="36" t="n"/>
    </row>
    <row r="17" ht="42" customHeight="1">
      <c r="A17" s="16" t="inlineStr">
        <is>
          <t>20E</t>
        </is>
      </c>
      <c r="B17" s="16" t="inlineStr">
        <is>
          <t>Berth closed</t>
        </is>
      </c>
      <c r="C17" s="38" t="n"/>
      <c r="D17" s="18" t="n">
        <v>46300</v>
      </c>
      <c r="E17" s="18" t="n">
        <v>46315</v>
      </c>
      <c r="F17" s="16" t="inlineStr">
        <is>
          <t>CLOSE (Oct 5–20 2026) printed under 20E  —  Unchanged</t>
        </is>
      </c>
      <c r="G17" s="38" t="n"/>
      <c r="H17" s="38" t="n"/>
      <c r="I17" s="38" t="n"/>
      <c r="J17" s="38" t="n"/>
    </row>
  </sheetData>
  <mergeCells count="2">
    <mergeCell ref="F17:J17"/>
    <mergeCell ref="F16:J16"/>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J17"/>
  <sheetViews>
    <sheetView workbookViewId="0">
      <pane ySplit="3" topLeftCell="A4" activePane="bottomLeft" state="frozen"/>
      <selection pane="bottomLeft" activeCell="A1" sqref="A1"/>
    </sheetView>
  </sheetViews>
  <sheetFormatPr baseColWidth="8" defaultRowHeight="15"/>
  <cols>
    <col width="10" customWidth="1" min="1" max="1"/>
    <col width="20" customWidth="1" min="2" max="2"/>
    <col width="10" customWidth="1" min="3" max="3"/>
    <col width="16" customWidth="1" min="4" max="4"/>
    <col width="16" customWidth="1" min="5" max="5"/>
    <col width="16" customWidth="1" min="6" max="6"/>
    <col width="18" customWidth="1" min="7" max="7"/>
    <col width="16" customWidth="1" min="8" max="8"/>
    <col width="10" customWidth="1" min="9" max="9"/>
    <col width="10" customWidth="1" min="10" max="10"/>
  </cols>
  <sheetData>
    <row r="1">
      <c r="A1" s="1" t="inlineStr">
        <is>
          <t>PAT Berth Window — Vessel List by Berth — Sheet dated 18 Oct 2026</t>
        </is>
      </c>
    </row>
    <row r="3">
      <c r="A3" s="3" t="inlineStr">
        <is>
          <t>Berth</t>
        </is>
      </c>
      <c r="B3" s="3" t="inlineStr">
        <is>
          <t>Vessel</t>
        </is>
      </c>
      <c r="C3" s="3" t="inlineStr">
        <is>
          <t>LOA (m)</t>
        </is>
      </c>
      <c r="D3" s="3" t="inlineStr">
        <is>
          <t>ETA</t>
        </is>
      </c>
      <c r="E3" s="3" t="inlineStr">
        <is>
          <t>P.B</t>
        </is>
      </c>
      <c r="F3" s="3" t="inlineStr">
        <is>
          <t>ETD</t>
        </is>
      </c>
      <c r="G3" s="3" t="inlineStr">
        <is>
          <t>Waiting for Berth (h)</t>
        </is>
      </c>
      <c r="H3" s="3" t="inlineStr">
        <is>
          <t>Hours Alongside</t>
        </is>
      </c>
      <c r="I3" s="3" t="inlineStr">
        <is>
          <t>Shift</t>
        </is>
      </c>
      <c r="J3" s="3" t="inlineStr">
        <is>
          <t>Marked</t>
        </is>
      </c>
    </row>
    <row r="4">
      <c r="A4" s="5" t="inlineStr">
        <is>
          <t>20AB</t>
        </is>
      </c>
      <c r="B4" s="5" t="inlineStr">
        <is>
          <t>BANGKOK</t>
        </is>
      </c>
      <c r="C4" s="23" t="n">
        <v>551</v>
      </c>
      <c r="D4" s="11" t="n">
        <v>46311.625</v>
      </c>
      <c r="E4" s="11" t="n">
        <v>46312.375</v>
      </c>
      <c r="F4" s="11" t="n">
        <v>46314.33333333334</v>
      </c>
      <c r="G4" s="24">
        <f>(E4-D4)*24</f>
        <v/>
      </c>
      <c r="H4" s="24">
        <f>(F4-E4)*24</f>
        <v/>
      </c>
      <c r="I4" s="23" t="inlineStr">
        <is>
          <t>–</t>
        </is>
      </c>
      <c r="J4" s="23" t="inlineStr"/>
    </row>
    <row r="5">
      <c r="A5" s="5" t="inlineStr">
        <is>
          <t>20B</t>
        </is>
      </c>
      <c r="B5" s="5" t="inlineStr">
        <is>
          <t>JARU BHUM</t>
        </is>
      </c>
      <c r="C5" s="23" t="n">
        <v>564</v>
      </c>
      <c r="D5" s="11" t="n">
        <v>46312.66666666666</v>
      </c>
      <c r="E5" s="11" t="n">
        <v>46312.66666666666</v>
      </c>
      <c r="F5" s="11" t="n">
        <v>46313.41666666666</v>
      </c>
      <c r="G5" s="24">
        <f>(E5-D5)*24</f>
        <v/>
      </c>
      <c r="H5" s="24">
        <f>(F5-E5)*24</f>
        <v/>
      </c>
      <c r="I5" s="23" t="inlineStr">
        <is>
          <t>7B</t>
        </is>
      </c>
      <c r="J5" s="23" t="inlineStr"/>
    </row>
    <row r="6">
      <c r="A6" s="5" t="inlineStr">
        <is>
          <t>20B</t>
        </is>
      </c>
      <c r="B6" s="5" t="inlineStr">
        <is>
          <t>MTT BANGKOK</t>
        </is>
      </c>
      <c r="C6" s="23" t="n">
        <v>564</v>
      </c>
      <c r="D6" s="11" t="n">
        <v>46315.625</v>
      </c>
      <c r="E6" s="11" t="n">
        <v>46315.625</v>
      </c>
      <c r="F6" s="11" t="n">
        <v>46316.54166666666</v>
      </c>
      <c r="G6" s="24">
        <f>(E6-D6)*24</f>
        <v/>
      </c>
      <c r="H6" s="24">
        <f>(F6-E6)*24</f>
        <v/>
      </c>
      <c r="I6" s="23" t="inlineStr">
        <is>
          <t>–</t>
        </is>
      </c>
      <c r="J6" s="23" t="inlineStr"/>
    </row>
    <row r="7">
      <c r="A7" s="5" t="inlineStr">
        <is>
          <t>20C</t>
        </is>
      </c>
      <c r="B7" s="5" t="inlineStr">
        <is>
          <t>LITTLE DOLPHIN</t>
        </is>
      </c>
      <c r="C7" s="23" t="n">
        <v>564</v>
      </c>
      <c r="D7" s="11" t="n">
        <v>46312.04166666666</v>
      </c>
      <c r="E7" s="11" t="n">
        <v>46312.33333333334</v>
      </c>
      <c r="F7" s="11" t="n">
        <v>46313.66666666666</v>
      </c>
      <c r="G7" s="24">
        <f>(E7-D7)*24</f>
        <v/>
      </c>
      <c r="H7" s="24">
        <f>(F7-E7)*24</f>
        <v/>
      </c>
      <c r="I7" s="23" t="inlineStr">
        <is>
          <t>–</t>
        </is>
      </c>
      <c r="J7" s="23" t="inlineStr"/>
    </row>
    <row r="8">
      <c r="A8" s="5" t="inlineStr">
        <is>
          <t>20C</t>
        </is>
      </c>
      <c r="B8" s="5" t="inlineStr">
        <is>
          <t>MITRA BHUM</t>
        </is>
      </c>
      <c r="C8" s="23" t="n">
        <v>485</v>
      </c>
      <c r="D8" s="11" t="n">
        <v>46315.70833333334</v>
      </c>
      <c r="E8" s="11" t="n">
        <v>46315.70833333334</v>
      </c>
      <c r="F8" s="11" t="n">
        <v>46316.54166666666</v>
      </c>
      <c r="G8" s="24">
        <f>(E8-D8)*24</f>
        <v/>
      </c>
      <c r="H8" s="24">
        <f>(F8-E8)*24</f>
        <v/>
      </c>
      <c r="I8" s="23" t="inlineStr">
        <is>
          <t>–</t>
        </is>
      </c>
      <c r="J8" s="23" t="inlineStr"/>
    </row>
    <row r="9">
      <c r="A9" s="5" t="inlineStr">
        <is>
          <t>20D</t>
        </is>
      </c>
      <c r="B9" s="5" t="inlineStr">
        <is>
          <t>INFINITY</t>
        </is>
      </c>
      <c r="C9" s="23" t="n">
        <v>565</v>
      </c>
      <c r="D9" s="11" t="n">
        <v>46313</v>
      </c>
      <c r="E9" s="11" t="n">
        <v>46313.29166666666</v>
      </c>
      <c r="F9" s="11" t="n">
        <v>46314.375</v>
      </c>
      <c r="G9" s="24">
        <f>(E9-D9)*24</f>
        <v/>
      </c>
      <c r="H9" s="24">
        <f>(F9-E9)*24</f>
        <v/>
      </c>
      <c r="I9" s="23" t="inlineStr">
        <is>
          <t>–</t>
        </is>
      </c>
      <c r="J9" s="23" t="inlineStr"/>
    </row>
    <row r="10">
      <c r="A10" s="5" t="inlineStr">
        <is>
          <t>20F</t>
        </is>
      </c>
      <c r="B10" s="5" t="inlineStr">
        <is>
          <t>XIN MING ZHOU 108</t>
        </is>
      </c>
      <c r="C10" s="23" t="n">
        <v>564</v>
      </c>
      <c r="D10" s="11" t="n">
        <v>46312.41666666666</v>
      </c>
      <c r="E10" s="11" t="n">
        <v>46313.33333333334</v>
      </c>
      <c r="F10" s="11" t="n">
        <v>46314.29166666666</v>
      </c>
      <c r="G10" s="24">
        <f>(E10-D10)*24</f>
        <v/>
      </c>
      <c r="H10" s="24">
        <f>(F10-E10)*24</f>
        <v/>
      </c>
      <c r="I10" s="23" t="inlineStr">
        <is>
          <t>–</t>
        </is>
      </c>
      <c r="J10" s="23" t="inlineStr"/>
    </row>
    <row r="11">
      <c r="A11" s="6" t="inlineStr">
        <is>
          <t>20F</t>
        </is>
      </c>
      <c r="B11" s="6" t="inlineStr">
        <is>
          <t>KMTC JAKARTA</t>
        </is>
      </c>
      <c r="C11" s="17" t="n">
        <v>564</v>
      </c>
      <c r="D11" s="20" t="n">
        <v>46314.5</v>
      </c>
      <c r="E11" s="20" t="n">
        <v>46314.5</v>
      </c>
      <c r="F11" s="20" t="n">
        <v>46315.70833333334</v>
      </c>
      <c r="G11" s="26">
        <f>(E11-D11)*24</f>
        <v/>
      </c>
      <c r="H11" s="26">
        <f>(F11-E11)*24</f>
        <v/>
      </c>
      <c r="I11" s="17" t="inlineStr">
        <is>
          <t>–</t>
        </is>
      </c>
      <c r="J11" s="17" t="inlineStr">
        <is>
          <t>Yes</t>
        </is>
      </c>
    </row>
    <row r="14">
      <c r="A14" s="34" t="inlineStr">
        <is>
          <t>Berth &amp; gate notices on this sheet</t>
        </is>
      </c>
    </row>
    <row r="15">
      <c r="A15" s="3" t="inlineStr">
        <is>
          <t>Berth / Gate</t>
        </is>
      </c>
      <c r="B15" s="3" t="inlineStr">
        <is>
          <t>Type</t>
        </is>
      </c>
      <c r="C15" s="3" t="n"/>
      <c r="D15" s="3" t="inlineStr">
        <is>
          <t>From</t>
        </is>
      </c>
      <c r="E15" s="3" t="inlineStr">
        <is>
          <t>To</t>
        </is>
      </c>
      <c r="F15" s="3" t="inlineStr">
        <is>
          <t>Notice / change vs previous sheet</t>
        </is>
      </c>
      <c r="G15" s="35" t="n"/>
      <c r="H15" s="35" t="n"/>
      <c r="I15" s="35" t="n"/>
      <c r="J15" s="36" t="n"/>
    </row>
    <row r="16" ht="42" customHeight="1">
      <c r="A16" s="16" t="inlineStr">
        <is>
          <t>20D</t>
        </is>
      </c>
      <c r="B16" s="16" t="inlineStr">
        <is>
          <t>Berth closed</t>
        </is>
      </c>
      <c r="C16" s="38" t="n"/>
      <c r="D16" s="18" t="n">
        <v>46314</v>
      </c>
      <c r="E16" s="17" t="inlineStr">
        <is>
          <t>–</t>
        </is>
      </c>
      <c r="F16" s="16" t="inlineStr">
        <is>
          <t>20D CLOSE from Oct 19 2026 (end date not printed on the sheet)  —  New</t>
        </is>
      </c>
      <c r="G16" s="38" t="n"/>
      <c r="H16" s="38" t="n"/>
      <c r="I16" s="38" t="n"/>
      <c r="J16" s="38" t="n"/>
    </row>
    <row r="17" ht="42" customHeight="1">
      <c r="A17" s="16" t="inlineStr">
        <is>
          <t>20E</t>
        </is>
      </c>
      <c r="B17" s="16" t="inlineStr">
        <is>
          <t>Berth closed</t>
        </is>
      </c>
      <c r="C17" s="38" t="n"/>
      <c r="D17" s="17" t="inlineStr">
        <is>
          <t>–</t>
        </is>
      </c>
      <c r="E17" s="17" t="inlineStr">
        <is>
          <t>–</t>
        </is>
      </c>
      <c r="F17" s="16" t="inlineStr">
        <is>
          <t>(no notice – the CLOSE (Oct 5–20 2026) line under 20E is gone)  —  Dropped from sheet: 20E closure no longer printed</t>
        </is>
      </c>
      <c r="G17" s="38" t="n"/>
      <c r="H17" s="38" t="n"/>
      <c r="I17" s="38" t="n"/>
      <c r="J17" s="38" t="n"/>
    </row>
  </sheetData>
  <mergeCells count="3">
    <mergeCell ref="F17:J17"/>
    <mergeCell ref="F15:J15"/>
    <mergeCell ref="F16:J16"/>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J17"/>
  <sheetViews>
    <sheetView workbookViewId="0">
      <pane ySplit="3" topLeftCell="A4" activePane="bottomLeft" state="frozen"/>
      <selection pane="bottomLeft" activeCell="A1" sqref="A1"/>
    </sheetView>
  </sheetViews>
  <sheetFormatPr baseColWidth="8" defaultRowHeight="15"/>
  <cols>
    <col width="10" customWidth="1" min="1" max="1"/>
    <col width="20" customWidth="1" min="2" max="2"/>
    <col width="10" customWidth="1" min="3" max="3"/>
    <col width="16" customWidth="1" min="4" max="4"/>
    <col width="16" customWidth="1" min="5" max="5"/>
    <col width="16" customWidth="1" min="6" max="6"/>
    <col width="18" customWidth="1" min="7" max="7"/>
    <col width="16" customWidth="1" min="8" max="8"/>
    <col width="10" customWidth="1" min="9" max="9"/>
    <col width="10" customWidth="1" min="10" max="10"/>
  </cols>
  <sheetData>
    <row r="1">
      <c r="A1" s="1" t="inlineStr">
        <is>
          <t>PAT Berth Window — Vessel List by Berth — Sheet dated 19 Oct 2026</t>
        </is>
      </c>
    </row>
    <row r="3">
      <c r="A3" s="3" t="inlineStr">
        <is>
          <t>Berth</t>
        </is>
      </c>
      <c r="B3" s="3" t="inlineStr">
        <is>
          <t>Vessel</t>
        </is>
      </c>
      <c r="C3" s="3" t="inlineStr">
        <is>
          <t>LOA (m)</t>
        </is>
      </c>
      <c r="D3" s="3" t="inlineStr">
        <is>
          <t>ETA</t>
        </is>
      </c>
      <c r="E3" s="3" t="inlineStr">
        <is>
          <t>P.B</t>
        </is>
      </c>
      <c r="F3" s="3" t="inlineStr">
        <is>
          <t>ETD</t>
        </is>
      </c>
      <c r="G3" s="3" t="inlineStr">
        <is>
          <t>Waiting for Berth (h)</t>
        </is>
      </c>
      <c r="H3" s="3" t="inlineStr">
        <is>
          <t>Hours Alongside</t>
        </is>
      </c>
      <c r="I3" s="3" t="inlineStr">
        <is>
          <t>Shift</t>
        </is>
      </c>
      <c r="J3" s="3" t="inlineStr">
        <is>
          <t>Marked</t>
        </is>
      </c>
    </row>
    <row r="4">
      <c r="A4" s="5" t="inlineStr">
        <is>
          <t>20AB</t>
        </is>
      </c>
      <c r="B4" s="5" t="inlineStr">
        <is>
          <t>HOPE C</t>
        </is>
      </c>
      <c r="C4" s="23" t="n">
        <v>481</v>
      </c>
      <c r="D4" s="11" t="n">
        <v>46316</v>
      </c>
      <c r="E4" s="11" t="n">
        <v>46316.375</v>
      </c>
      <c r="F4" s="11" t="n">
        <v>46316.91666666666</v>
      </c>
      <c r="G4" s="24">
        <f>(E4-D4)*24</f>
        <v/>
      </c>
      <c r="H4" s="24">
        <f>(F4-E4)*24</f>
        <v/>
      </c>
      <c r="I4" s="23" t="inlineStr">
        <is>
          <t>4A</t>
        </is>
      </c>
      <c r="J4" s="23" t="inlineStr"/>
    </row>
    <row r="5">
      <c r="A5" s="5" t="inlineStr">
        <is>
          <t>20B</t>
        </is>
      </c>
      <c r="B5" s="5" t="inlineStr">
        <is>
          <t>KMTC JAKARTA</t>
        </is>
      </c>
      <c r="C5" s="23" t="n">
        <v>564</v>
      </c>
      <c r="D5" s="11" t="n">
        <v>46314.41666666666</v>
      </c>
      <c r="E5" s="11" t="n">
        <v>46314.41666666666</v>
      </c>
      <c r="F5" s="11" t="n">
        <v>46315.70833333334</v>
      </c>
      <c r="G5" s="24">
        <f>(E5-D5)*24</f>
        <v/>
      </c>
      <c r="H5" s="24">
        <f>(F5-E5)*24</f>
        <v/>
      </c>
      <c r="I5" s="23" t="inlineStr">
        <is>
          <t>–</t>
        </is>
      </c>
      <c r="J5" s="23" t="inlineStr"/>
    </row>
    <row r="6">
      <c r="A6" s="5" t="inlineStr">
        <is>
          <t>20B</t>
        </is>
      </c>
      <c r="B6" s="5" t="inlineStr">
        <is>
          <t>MITRA BHUM</t>
        </is>
      </c>
      <c r="C6" s="23" t="n">
        <v>485</v>
      </c>
      <c r="D6" s="11" t="n">
        <v>46316.54166666666</v>
      </c>
      <c r="E6" s="11" t="n">
        <v>46316.54166666666</v>
      </c>
      <c r="F6" s="11" t="n">
        <v>46317.20833333334</v>
      </c>
      <c r="G6" s="24">
        <f>(E6-D6)*24</f>
        <v/>
      </c>
      <c r="H6" s="24">
        <f>(F6-E6)*24</f>
        <v/>
      </c>
      <c r="I6" s="23" t="inlineStr">
        <is>
          <t>–</t>
        </is>
      </c>
      <c r="J6" s="23" t="inlineStr"/>
    </row>
    <row r="7">
      <c r="A7" s="5" t="inlineStr">
        <is>
          <t>20C</t>
        </is>
      </c>
      <c r="B7" s="5" t="inlineStr">
        <is>
          <t>MILLENNIUM BRIGHT</t>
        </is>
      </c>
      <c r="C7" s="23" t="n">
        <v>564</v>
      </c>
      <c r="D7" s="11" t="n">
        <v>46314.58333333334</v>
      </c>
      <c r="E7" s="11" t="n">
        <v>46314.58333333334</v>
      </c>
      <c r="F7" s="11" t="n">
        <v>46315.5</v>
      </c>
      <c r="G7" s="24">
        <f>(E7-D7)*24</f>
        <v/>
      </c>
      <c r="H7" s="24">
        <f>(F7-E7)*24</f>
        <v/>
      </c>
      <c r="I7" s="23" t="inlineStr">
        <is>
          <t>–</t>
        </is>
      </c>
      <c r="J7" s="23" t="inlineStr"/>
    </row>
    <row r="8">
      <c r="A8" s="5" t="inlineStr">
        <is>
          <t>20C</t>
        </is>
      </c>
      <c r="B8" s="5" t="inlineStr">
        <is>
          <t>CAPE FAWLEY</t>
        </is>
      </c>
      <c r="C8" s="23" t="n">
        <v>558</v>
      </c>
      <c r="D8" s="11" t="n">
        <v>46316.45833333334</v>
      </c>
      <c r="E8" s="11" t="n">
        <v>46316.5</v>
      </c>
      <c r="F8" s="11" t="n">
        <v>46318.5</v>
      </c>
      <c r="G8" s="24">
        <f>(E8-D8)*24</f>
        <v/>
      </c>
      <c r="H8" s="24">
        <f>(F8-E8)*24</f>
        <v/>
      </c>
      <c r="I8" s="23" t="inlineStr">
        <is>
          <t>–</t>
        </is>
      </c>
      <c r="J8" s="23" t="inlineStr"/>
    </row>
    <row r="9">
      <c r="A9" s="5" t="inlineStr">
        <is>
          <t>20E</t>
        </is>
      </c>
      <c r="B9" s="5" t="inlineStr">
        <is>
          <t>MTT BANGKOK</t>
        </is>
      </c>
      <c r="C9" s="23" t="n">
        <v>564</v>
      </c>
      <c r="D9" s="11" t="n">
        <v>46315.625</v>
      </c>
      <c r="E9" s="11" t="n">
        <v>46315.625</v>
      </c>
      <c r="F9" s="11" t="n">
        <v>46316.54166666666</v>
      </c>
      <c r="G9" s="24">
        <f>(E9-D9)*24</f>
        <v/>
      </c>
      <c r="H9" s="24">
        <f>(F9-E9)*24</f>
        <v/>
      </c>
      <c r="I9" s="23" t="inlineStr">
        <is>
          <t>–</t>
        </is>
      </c>
      <c r="J9" s="23" t="inlineStr"/>
    </row>
    <row r="10">
      <c r="A10" s="5" t="inlineStr">
        <is>
          <t>20E</t>
        </is>
      </c>
      <c r="B10" s="5" t="inlineStr">
        <is>
          <t>ALS SUMIRE</t>
        </is>
      </c>
      <c r="C10" s="23" t="n">
        <v>537</v>
      </c>
      <c r="D10" s="11" t="n">
        <v>46316.70833333334</v>
      </c>
      <c r="E10" s="11" t="n">
        <v>46316.70833333334</v>
      </c>
      <c r="F10" s="11" t="n">
        <v>46317.70833333334</v>
      </c>
      <c r="G10" s="24">
        <f>(E10-D10)*24</f>
        <v/>
      </c>
      <c r="H10" s="24">
        <f>(F10-E10)*24</f>
        <v/>
      </c>
      <c r="I10" s="23" t="inlineStr">
        <is>
          <t>1C</t>
        </is>
      </c>
      <c r="J10" s="23" t="inlineStr"/>
    </row>
    <row r="11">
      <c r="A11" s="5" t="inlineStr">
        <is>
          <t>20F</t>
        </is>
      </c>
      <c r="B11" s="5" t="inlineStr">
        <is>
          <t>XIN MING ZHOU 108</t>
        </is>
      </c>
      <c r="C11" s="23" t="n">
        <v>564</v>
      </c>
      <c r="D11" s="11" t="n">
        <v>46312.41666666666</v>
      </c>
      <c r="E11" s="11" t="n">
        <v>46313.33333333334</v>
      </c>
      <c r="F11" s="11" t="n">
        <v>46314.5</v>
      </c>
      <c r="G11" s="24">
        <f>(E11-D11)*24</f>
        <v/>
      </c>
      <c r="H11" s="24">
        <f>(F11-E11)*24</f>
        <v/>
      </c>
      <c r="I11" s="23" t="inlineStr">
        <is>
          <t>–</t>
        </is>
      </c>
      <c r="J11" s="23" t="inlineStr"/>
    </row>
    <row r="12">
      <c r="A12" s="5" t="inlineStr">
        <is>
          <t>20F</t>
        </is>
      </c>
      <c r="B12" s="5" t="inlineStr">
        <is>
          <t>GREEN PARK</t>
        </is>
      </c>
      <c r="C12" s="23" t="n">
        <v>482</v>
      </c>
      <c r="D12" s="11" t="n">
        <v>46316.70833333334</v>
      </c>
      <c r="E12" s="11" t="n">
        <v>46317.58333333334</v>
      </c>
      <c r="F12" s="11" t="n">
        <v>46318.54166666666</v>
      </c>
      <c r="G12" s="24">
        <f>(E12-D12)*24</f>
        <v/>
      </c>
      <c r="H12" s="24">
        <f>(F12-E12)*24</f>
        <v/>
      </c>
      <c r="I12" s="23" t="inlineStr">
        <is>
          <t>–</t>
        </is>
      </c>
      <c r="J12" s="23" t="inlineStr"/>
    </row>
    <row r="15">
      <c r="A15" s="34" t="inlineStr">
        <is>
          <t>Berth &amp; gate notices on this sheet</t>
        </is>
      </c>
    </row>
    <row r="16">
      <c r="A16" s="3" t="inlineStr">
        <is>
          <t>Berth / Gate</t>
        </is>
      </c>
      <c r="B16" s="3" t="inlineStr">
        <is>
          <t>Type</t>
        </is>
      </c>
      <c r="C16" s="3" t="n"/>
      <c r="D16" s="3" t="inlineStr">
        <is>
          <t>From</t>
        </is>
      </c>
      <c r="E16" s="3" t="inlineStr">
        <is>
          <t>To</t>
        </is>
      </c>
      <c r="F16" s="3" t="inlineStr">
        <is>
          <t>Notice / change vs previous sheet</t>
        </is>
      </c>
      <c r="G16" s="35" t="n"/>
      <c r="H16" s="35" t="n"/>
      <c r="I16" s="35" t="n"/>
      <c r="J16" s="36" t="n"/>
    </row>
    <row r="17" ht="42" customHeight="1">
      <c r="A17" s="16" t="inlineStr">
        <is>
          <t>20D</t>
        </is>
      </c>
      <c r="B17" s="16" t="inlineStr">
        <is>
          <t>Berth closed</t>
        </is>
      </c>
      <c r="C17" s="38" t="n"/>
      <c r="D17" s="17" t="inlineStr">
        <is>
          <t>–</t>
        </is>
      </c>
      <c r="E17" s="17" t="inlineStr">
        <is>
          <t>–</t>
        </is>
      </c>
      <c r="F17" s="16" t="inlineStr">
        <is>
          <t>(no notice – the CLOSE from Oct 19 line is no longer printed; 20D has no vessels on this sheet)  —  Dropped from sheet: 20D closure no longer printed</t>
        </is>
      </c>
      <c r="G17" s="38" t="n"/>
      <c r="H17" s="38" t="n"/>
      <c r="I17" s="38" t="n"/>
      <c r="J17" s="38" t="n"/>
    </row>
  </sheetData>
  <mergeCells count="2">
    <mergeCell ref="F17:J17"/>
    <mergeCell ref="F16:J16"/>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J22"/>
  <sheetViews>
    <sheetView workbookViewId="0">
      <pane ySplit="3" topLeftCell="A4" activePane="bottomLeft" state="frozen"/>
      <selection pane="bottomLeft" activeCell="A1" sqref="A1"/>
    </sheetView>
  </sheetViews>
  <sheetFormatPr baseColWidth="8" defaultRowHeight="15"/>
  <cols>
    <col width="10" customWidth="1" min="1" max="1"/>
    <col width="20" customWidth="1" min="2" max="2"/>
    <col width="10" customWidth="1" min="3" max="3"/>
    <col width="16" customWidth="1" min="4" max="4"/>
    <col width="16" customWidth="1" min="5" max="5"/>
    <col width="16" customWidth="1" min="6" max="6"/>
    <col width="18" customWidth="1" min="7" max="7"/>
    <col width="16" customWidth="1" min="8" max="8"/>
    <col width="10" customWidth="1" min="9" max="9"/>
    <col width="10" customWidth="1" min="10" max="10"/>
  </cols>
  <sheetData>
    <row r="1">
      <c r="A1" s="1" t="inlineStr">
        <is>
          <t>PAT Berth Window — Vessel List by Berth — Sheet dated 20 Oct 2026</t>
        </is>
      </c>
    </row>
    <row r="3">
      <c r="A3" s="3" t="inlineStr">
        <is>
          <t>Berth</t>
        </is>
      </c>
      <c r="B3" s="3" t="inlineStr">
        <is>
          <t>Vessel</t>
        </is>
      </c>
      <c r="C3" s="3" t="inlineStr">
        <is>
          <t>LOA (m)</t>
        </is>
      </c>
      <c r="D3" s="3" t="inlineStr">
        <is>
          <t>ETA</t>
        </is>
      </c>
      <c r="E3" s="3" t="inlineStr">
        <is>
          <t>P.B</t>
        </is>
      </c>
      <c r="F3" s="3" t="inlineStr">
        <is>
          <t>ETD</t>
        </is>
      </c>
      <c r="G3" s="3" t="inlineStr">
        <is>
          <t>Waiting for Berth (h)</t>
        </is>
      </c>
      <c r="H3" s="3" t="inlineStr">
        <is>
          <t>Hours Alongside</t>
        </is>
      </c>
      <c r="I3" s="3" t="inlineStr">
        <is>
          <t>Shift</t>
        </is>
      </c>
      <c r="J3" s="3" t="inlineStr">
        <is>
          <t>Marked</t>
        </is>
      </c>
    </row>
    <row r="4">
      <c r="A4" s="5" t="inlineStr">
        <is>
          <t>20AB</t>
        </is>
      </c>
      <c r="B4" s="5" t="inlineStr">
        <is>
          <t>HOPE C</t>
        </is>
      </c>
      <c r="C4" s="23" t="n">
        <v>481</v>
      </c>
      <c r="D4" s="11" t="n">
        <v>46316</v>
      </c>
      <c r="E4" s="11" t="n">
        <v>46316.375</v>
      </c>
      <c r="F4" s="11" t="n">
        <v>46316.91666666666</v>
      </c>
      <c r="G4" s="24">
        <f>(E4-D4)*24</f>
        <v/>
      </c>
      <c r="H4" s="24">
        <f>(F4-E4)*24</f>
        <v/>
      </c>
      <c r="I4" s="23" t="inlineStr">
        <is>
          <t>4A</t>
        </is>
      </c>
      <c r="J4" s="23" t="inlineStr"/>
    </row>
    <row r="5">
      <c r="A5" s="5" t="inlineStr">
        <is>
          <t>20AB</t>
        </is>
      </c>
      <c r="B5" s="5" t="inlineStr">
        <is>
          <t>ALS SUMIRE</t>
        </is>
      </c>
      <c r="C5" s="23" t="n">
        <v>537</v>
      </c>
      <c r="D5" s="11" t="n">
        <v>46316.91666666666</v>
      </c>
      <c r="E5" s="11" t="n">
        <v>46317.54166666666</v>
      </c>
      <c r="F5" s="11" t="n">
        <v>46318.66666666666</v>
      </c>
      <c r="G5" s="24">
        <f>(E5-D5)*24</f>
        <v/>
      </c>
      <c r="H5" s="24">
        <f>(F5-E5)*24</f>
        <v/>
      </c>
      <c r="I5" s="23" t="inlineStr">
        <is>
          <t>1C</t>
        </is>
      </c>
      <c r="J5" s="23" t="inlineStr"/>
    </row>
    <row r="6">
      <c r="A6" s="5" t="inlineStr">
        <is>
          <t>20B</t>
        </is>
      </c>
      <c r="B6" s="5" t="inlineStr">
        <is>
          <t>KMTC JAKARTA</t>
        </is>
      </c>
      <c r="C6" s="23" t="n">
        <v>564</v>
      </c>
      <c r="D6" s="11" t="n">
        <v>46314.41666666666</v>
      </c>
      <c r="E6" s="11" t="n">
        <v>46314.41666666666</v>
      </c>
      <c r="F6" s="11" t="n">
        <v>46315.70833333334</v>
      </c>
      <c r="G6" s="24">
        <f>(E6-D6)*24</f>
        <v/>
      </c>
      <c r="H6" s="24">
        <f>(F6-E6)*24</f>
        <v/>
      </c>
      <c r="I6" s="23" t="inlineStr">
        <is>
          <t>–</t>
        </is>
      </c>
      <c r="J6" s="23" t="inlineStr"/>
    </row>
    <row r="7">
      <c r="A7" s="5" t="inlineStr">
        <is>
          <t>20B</t>
        </is>
      </c>
      <c r="B7" s="5" t="inlineStr">
        <is>
          <t>MITRA BHUM</t>
        </is>
      </c>
      <c r="C7" s="23" t="n">
        <v>485</v>
      </c>
      <c r="D7" s="11" t="n">
        <v>46316.54166666666</v>
      </c>
      <c r="E7" s="11" t="n">
        <v>46316.54166666666</v>
      </c>
      <c r="F7" s="11" t="n">
        <v>46317.20833333334</v>
      </c>
      <c r="G7" s="24">
        <f>(E7-D7)*24</f>
        <v/>
      </c>
      <c r="H7" s="24">
        <f>(F7-E7)*24</f>
        <v/>
      </c>
      <c r="I7" s="23" t="inlineStr">
        <is>
          <t>–</t>
        </is>
      </c>
      <c r="J7" s="23" t="inlineStr"/>
    </row>
    <row r="8">
      <c r="A8" s="5" t="inlineStr">
        <is>
          <t>20B</t>
        </is>
      </c>
      <c r="B8" s="5" t="inlineStr">
        <is>
          <t>GREEN PARK</t>
        </is>
      </c>
      <c r="C8" s="23" t="n">
        <v>482</v>
      </c>
      <c r="D8" s="11" t="n">
        <v>46316.70833333334</v>
      </c>
      <c r="E8" s="11" t="n">
        <v>46317.58333333334</v>
      </c>
      <c r="F8" s="11" t="n">
        <v>46318.54166666666</v>
      </c>
      <c r="G8" s="24">
        <f>(E8-D8)*24</f>
        <v/>
      </c>
      <c r="H8" s="24">
        <f>(F8-E8)*24</f>
        <v/>
      </c>
      <c r="I8" s="23" t="inlineStr">
        <is>
          <t>–</t>
        </is>
      </c>
      <c r="J8" s="23" t="inlineStr"/>
    </row>
    <row r="9">
      <c r="A9" s="5" t="inlineStr">
        <is>
          <t>20B</t>
        </is>
      </c>
      <c r="B9" s="5" t="inlineStr">
        <is>
          <t>KMTC GWANGYANG</t>
        </is>
      </c>
      <c r="C9" s="23" t="n">
        <v>564</v>
      </c>
      <c r="D9" s="11" t="n">
        <v>46317.54166666666</v>
      </c>
      <c r="E9" s="11" t="n">
        <v>46318.58333333334</v>
      </c>
      <c r="F9" s="11" t="n">
        <v>46320.08333333334</v>
      </c>
      <c r="G9" s="24">
        <f>(E9-D9)*24</f>
        <v/>
      </c>
      <c r="H9" s="24">
        <f>(F9-E9)*24</f>
        <v/>
      </c>
      <c r="I9" s="23" t="inlineStr">
        <is>
          <t>–</t>
        </is>
      </c>
      <c r="J9" s="23" t="inlineStr"/>
    </row>
    <row r="10">
      <c r="A10" s="5" t="inlineStr">
        <is>
          <t>20C</t>
        </is>
      </c>
      <c r="B10" s="5" t="inlineStr">
        <is>
          <t>MILLENNIUM BRIGHT</t>
        </is>
      </c>
      <c r="C10" s="23" t="n">
        <v>564</v>
      </c>
      <c r="D10" s="11" t="n">
        <v>46314.58333333334</v>
      </c>
      <c r="E10" s="11" t="n">
        <v>46314.58333333334</v>
      </c>
      <c r="F10" s="11" t="n">
        <v>46315.5</v>
      </c>
      <c r="G10" s="24">
        <f>(E10-D10)*24</f>
        <v/>
      </c>
      <c r="H10" s="24">
        <f>(F10-E10)*24</f>
        <v/>
      </c>
      <c r="I10" s="23" t="inlineStr">
        <is>
          <t>–</t>
        </is>
      </c>
      <c r="J10" s="23" t="inlineStr"/>
    </row>
    <row r="11">
      <c r="A11" s="5" t="inlineStr">
        <is>
          <t>20C</t>
        </is>
      </c>
      <c r="B11" s="5" t="inlineStr">
        <is>
          <t>CAPE FAWLEY</t>
        </is>
      </c>
      <c r="C11" s="23" t="n">
        <v>558</v>
      </c>
      <c r="D11" s="11" t="n">
        <v>46316.45833333334</v>
      </c>
      <c r="E11" s="11" t="n">
        <v>46316.5</v>
      </c>
      <c r="F11" s="11" t="n">
        <v>46318.5</v>
      </c>
      <c r="G11" s="24">
        <f>(E11-D11)*24</f>
        <v/>
      </c>
      <c r="H11" s="24">
        <f>(F11-E11)*24</f>
        <v/>
      </c>
      <c r="I11" s="23" t="inlineStr">
        <is>
          <t>–</t>
        </is>
      </c>
      <c r="J11" s="23" t="inlineStr"/>
    </row>
    <row r="12">
      <c r="A12" s="5" t="inlineStr">
        <is>
          <t>20C</t>
        </is>
      </c>
      <c r="B12" s="5" t="inlineStr">
        <is>
          <t>CA MANILA</t>
        </is>
      </c>
      <c r="C12" s="23" t="n">
        <v>548</v>
      </c>
      <c r="D12" s="11" t="n">
        <v>46317.66666666666</v>
      </c>
      <c r="E12" s="11" t="n">
        <v>46318.54166666666</v>
      </c>
      <c r="F12" s="11" t="n">
        <v>46320</v>
      </c>
      <c r="G12" s="24">
        <f>(E12-D12)*24</f>
        <v/>
      </c>
      <c r="H12" s="24">
        <f>(F12-E12)*24</f>
        <v/>
      </c>
      <c r="I12" s="23" t="inlineStr">
        <is>
          <t>–</t>
        </is>
      </c>
      <c r="J12" s="23" t="inlineStr"/>
    </row>
    <row r="13">
      <c r="A13" s="5" t="inlineStr">
        <is>
          <t>20E</t>
        </is>
      </c>
      <c r="B13" s="5" t="inlineStr">
        <is>
          <t>MTT BANGKOK</t>
        </is>
      </c>
      <c r="C13" s="23" t="n">
        <v>564</v>
      </c>
      <c r="D13" s="11" t="n">
        <v>46315.625</v>
      </c>
      <c r="E13" s="11" t="n">
        <v>46315.625</v>
      </c>
      <c r="F13" s="11" t="n">
        <v>46316.54166666666</v>
      </c>
      <c r="G13" s="24">
        <f>(E13-D13)*24</f>
        <v/>
      </c>
      <c r="H13" s="24">
        <f>(F13-E13)*24</f>
        <v/>
      </c>
      <c r="I13" s="23" t="inlineStr">
        <is>
          <t>–</t>
        </is>
      </c>
      <c r="J13" s="23" t="inlineStr"/>
    </row>
    <row r="14">
      <c r="A14" s="5" t="inlineStr">
        <is>
          <t>20E</t>
        </is>
      </c>
      <c r="B14" s="5" t="inlineStr">
        <is>
          <t>SKY ORION</t>
        </is>
      </c>
      <c r="C14" s="23" t="n">
        <v>565</v>
      </c>
      <c r="D14" s="11" t="n">
        <v>46316.83333333334</v>
      </c>
      <c r="E14" s="11" t="n">
        <v>46317.54166666666</v>
      </c>
      <c r="F14" s="11" t="n">
        <v>46319.04166666666</v>
      </c>
      <c r="G14" s="24">
        <f>(E14-D14)*24</f>
        <v/>
      </c>
      <c r="H14" s="24">
        <f>(F14-E14)*24</f>
        <v/>
      </c>
      <c r="I14" s="23" t="inlineStr">
        <is>
          <t>–</t>
        </is>
      </c>
      <c r="J14" s="23" t="inlineStr"/>
    </row>
    <row r="15">
      <c r="A15" s="5" t="inlineStr">
        <is>
          <t>20F</t>
        </is>
      </c>
      <c r="B15" s="5" t="inlineStr">
        <is>
          <t>RENOWN</t>
        </is>
      </c>
      <c r="C15" s="23" t="n">
        <v>458</v>
      </c>
      <c r="D15" s="11" t="n">
        <v>46315.91666666666</v>
      </c>
      <c r="E15" s="11" t="n">
        <v>46317.41666666666</v>
      </c>
      <c r="F15" s="11" t="n">
        <v>46318.41666666666</v>
      </c>
      <c r="G15" s="24">
        <f>(E15-D15)*24</f>
        <v/>
      </c>
      <c r="H15" s="24">
        <f>(F15-E15)*24</f>
        <v/>
      </c>
      <c r="I15" s="23" t="inlineStr">
        <is>
          <t>–</t>
        </is>
      </c>
      <c r="J15" s="23" t="inlineStr"/>
    </row>
    <row r="16">
      <c r="A16" s="5" t="inlineStr">
        <is>
          <t>20F</t>
        </is>
      </c>
      <c r="B16" s="5" t="inlineStr">
        <is>
          <t>WAN HAI 272</t>
        </is>
      </c>
      <c r="C16" s="23" t="n">
        <v>565</v>
      </c>
      <c r="D16" s="11" t="n">
        <v>46318.41666666666</v>
      </c>
      <c r="E16" s="11" t="n">
        <v>46318.41666666666</v>
      </c>
      <c r="F16" s="11" t="n">
        <v>46319.58333333334</v>
      </c>
      <c r="G16" s="24">
        <f>(E16-D16)*24</f>
        <v/>
      </c>
      <c r="H16" s="24">
        <f>(F16-E16)*24</f>
        <v/>
      </c>
      <c r="I16" s="23" t="inlineStr">
        <is>
          <t>–</t>
        </is>
      </c>
      <c r="J16" s="23" t="inlineStr"/>
    </row>
    <row r="17">
      <c r="A17" s="5" t="inlineStr">
        <is>
          <t>22A</t>
        </is>
      </c>
      <c r="B17" s="5" t="inlineStr">
        <is>
          <t>WAN HAI 272</t>
        </is>
      </c>
      <c r="C17" s="23" t="n">
        <v>565</v>
      </c>
      <c r="D17" s="11" t="n">
        <v>46317.29166666666</v>
      </c>
      <c r="E17" s="11" t="n">
        <v>46317.66666666666</v>
      </c>
      <c r="F17" s="11" t="n">
        <v>46318.41666666666</v>
      </c>
      <c r="G17" s="24">
        <f>(E17-D17)*24</f>
        <v/>
      </c>
      <c r="H17" s="24">
        <f>(F17-E17)*24</f>
        <v/>
      </c>
      <c r="I17" s="23" t="inlineStr">
        <is>
          <t>20F</t>
        </is>
      </c>
      <c r="J17" s="23" t="inlineStr"/>
    </row>
    <row r="20">
      <c r="A20" s="34" t="inlineStr">
        <is>
          <t>Berth &amp; gate notices on this sheet</t>
        </is>
      </c>
    </row>
    <row r="21">
      <c r="A21" s="3" t="inlineStr">
        <is>
          <t>Berth / Gate</t>
        </is>
      </c>
      <c r="B21" s="3" t="inlineStr">
        <is>
          <t>Type</t>
        </is>
      </c>
      <c r="C21" s="3" t="n"/>
      <c r="D21" s="3" t="inlineStr">
        <is>
          <t>From</t>
        </is>
      </c>
      <c r="E21" s="3" t="inlineStr">
        <is>
          <t>To</t>
        </is>
      </c>
      <c r="F21" s="3" t="inlineStr">
        <is>
          <t>Notice / change vs previous sheet</t>
        </is>
      </c>
      <c r="G21" s="35" t="n"/>
      <c r="H21" s="35" t="n"/>
      <c r="I21" s="35" t="n"/>
      <c r="J21" s="36" t="n"/>
    </row>
    <row r="22">
      <c r="A22" s="39" t="inlineStr">
        <is>
          <t>No notices on this sheet</t>
        </is>
      </c>
    </row>
  </sheetData>
  <mergeCells count="1">
    <mergeCell ref="F21:J21"/>
  </mergeCell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J21"/>
  <sheetViews>
    <sheetView workbookViewId="0">
      <pane ySplit="3" topLeftCell="A4" activePane="bottomLeft" state="frozen"/>
      <selection pane="bottomLeft" activeCell="A1" sqref="A1"/>
    </sheetView>
  </sheetViews>
  <sheetFormatPr baseColWidth="8" defaultRowHeight="15"/>
  <cols>
    <col width="10" customWidth="1" min="1" max="1"/>
    <col width="20" customWidth="1" min="2" max="2"/>
    <col width="10" customWidth="1" min="3" max="3"/>
    <col width="16" customWidth="1" min="4" max="4"/>
    <col width="16" customWidth="1" min="5" max="5"/>
    <col width="16" customWidth="1" min="6" max="6"/>
    <col width="18" customWidth="1" min="7" max="7"/>
    <col width="16" customWidth="1" min="8" max="8"/>
    <col width="10" customWidth="1" min="9" max="9"/>
    <col width="10" customWidth="1" min="10" max="10"/>
  </cols>
  <sheetData>
    <row r="1">
      <c r="A1" s="1" t="inlineStr">
        <is>
          <t>PAT Berth Window — Vessel List by Berth — Sheet dated 21 Oct 2026</t>
        </is>
      </c>
    </row>
    <row r="3">
      <c r="A3" s="3" t="inlineStr">
        <is>
          <t>Berth</t>
        </is>
      </c>
      <c r="B3" s="3" t="inlineStr">
        <is>
          <t>Vessel</t>
        </is>
      </c>
      <c r="C3" s="3" t="inlineStr">
        <is>
          <t>LOA (m)</t>
        </is>
      </c>
      <c r="D3" s="3" t="inlineStr">
        <is>
          <t>ETA</t>
        </is>
      </c>
      <c r="E3" s="3" t="inlineStr">
        <is>
          <t>P.B</t>
        </is>
      </c>
      <c r="F3" s="3" t="inlineStr">
        <is>
          <t>ETD</t>
        </is>
      </c>
      <c r="G3" s="3" t="inlineStr">
        <is>
          <t>Waiting for Berth (h)</t>
        </is>
      </c>
      <c r="H3" s="3" t="inlineStr">
        <is>
          <t>Hours Alongside</t>
        </is>
      </c>
      <c r="I3" s="3" t="inlineStr">
        <is>
          <t>Shift</t>
        </is>
      </c>
      <c r="J3" s="3" t="inlineStr">
        <is>
          <t>Marked</t>
        </is>
      </c>
    </row>
    <row r="4">
      <c r="A4" s="6" t="inlineStr">
        <is>
          <t>20AB</t>
        </is>
      </c>
      <c r="B4" s="6" t="inlineStr">
        <is>
          <t>HOPE C</t>
        </is>
      </c>
      <c r="C4" s="17" t="n">
        <v>481</v>
      </c>
      <c r="D4" s="20" t="n">
        <v>46316.08333333334</v>
      </c>
      <c r="E4" s="20" t="n">
        <v>46316.375</v>
      </c>
      <c r="F4" s="20" t="n">
        <v>46316.91666666666</v>
      </c>
      <c r="G4" s="26">
        <f>(E4-D4)*24</f>
        <v/>
      </c>
      <c r="H4" s="26">
        <f>(F4-E4)*24</f>
        <v/>
      </c>
      <c r="I4" s="17" t="inlineStr">
        <is>
          <t>4A</t>
        </is>
      </c>
      <c r="J4" s="17" t="inlineStr">
        <is>
          <t>Yes</t>
        </is>
      </c>
    </row>
    <row r="5">
      <c r="A5" s="5" t="inlineStr">
        <is>
          <t>20AB</t>
        </is>
      </c>
      <c r="B5" s="5" t="inlineStr">
        <is>
          <t>ALS SUMIRE</t>
        </is>
      </c>
      <c r="C5" s="23" t="n">
        <v>537</v>
      </c>
      <c r="D5" s="11" t="n">
        <v>46316.91666666666</v>
      </c>
      <c r="E5" s="11" t="n">
        <v>46317.54166666666</v>
      </c>
      <c r="F5" s="11" t="n">
        <v>46318.66666666666</v>
      </c>
      <c r="G5" s="24">
        <f>(E5-D5)*24</f>
        <v/>
      </c>
      <c r="H5" s="24">
        <f>(F5-E5)*24</f>
        <v/>
      </c>
      <c r="I5" s="23" t="inlineStr">
        <is>
          <t>1C</t>
        </is>
      </c>
      <c r="J5" s="23" t="inlineStr"/>
    </row>
    <row r="6">
      <c r="A6" s="5" t="inlineStr">
        <is>
          <t>20AB</t>
        </is>
      </c>
      <c r="B6" s="5" t="inlineStr">
        <is>
          <t>KMTC GWANGYANG</t>
        </is>
      </c>
      <c r="C6" s="23" t="n">
        <v>564</v>
      </c>
      <c r="D6" s="11" t="n">
        <v>46317.58333333334</v>
      </c>
      <c r="E6" s="11" t="n">
        <v>46318.58333333334</v>
      </c>
      <c r="F6" s="11" t="n">
        <v>46320.08333333334</v>
      </c>
      <c r="G6" s="24">
        <f>(E6-D6)*24</f>
        <v/>
      </c>
      <c r="H6" s="24">
        <f>(F6-E6)*24</f>
        <v/>
      </c>
      <c r="I6" s="23" t="inlineStr">
        <is>
          <t>–</t>
        </is>
      </c>
      <c r="J6" s="23" t="inlineStr"/>
    </row>
    <row r="7">
      <c r="A7" s="5" t="inlineStr">
        <is>
          <t>20B</t>
        </is>
      </c>
      <c r="B7" s="5" t="inlineStr">
        <is>
          <t>MITRA BHUM</t>
        </is>
      </c>
      <c r="C7" s="23" t="n">
        <v>485</v>
      </c>
      <c r="D7" s="11" t="n">
        <v>46316.54166666666</v>
      </c>
      <c r="E7" s="11" t="n">
        <v>46316.54166666666</v>
      </c>
      <c r="F7" s="11" t="n">
        <v>46317.20833333334</v>
      </c>
      <c r="G7" s="24">
        <f>(E7-D7)*24</f>
        <v/>
      </c>
      <c r="H7" s="24">
        <f>(F7-E7)*24</f>
        <v/>
      </c>
      <c r="I7" s="23" t="inlineStr">
        <is>
          <t>–</t>
        </is>
      </c>
      <c r="J7" s="23" t="inlineStr"/>
    </row>
    <row r="8">
      <c r="A8" s="5" t="inlineStr">
        <is>
          <t>20B</t>
        </is>
      </c>
      <c r="B8" s="5" t="inlineStr">
        <is>
          <t>GREEN PARK</t>
        </is>
      </c>
      <c r="C8" s="23" t="n">
        <v>482</v>
      </c>
      <c r="D8" s="11" t="n">
        <v>46316.58333333334</v>
      </c>
      <c r="E8" s="11" t="n">
        <v>46317.58333333334</v>
      </c>
      <c r="F8" s="11" t="n">
        <v>46318.54166666666</v>
      </c>
      <c r="G8" s="24">
        <f>(E8-D8)*24</f>
        <v/>
      </c>
      <c r="H8" s="24">
        <f>(F8-E8)*24</f>
        <v/>
      </c>
      <c r="I8" s="23" t="inlineStr">
        <is>
          <t>–</t>
        </is>
      </c>
      <c r="J8" s="23" t="inlineStr"/>
    </row>
    <row r="9">
      <c r="A9" s="5" t="inlineStr">
        <is>
          <t>20B</t>
        </is>
      </c>
      <c r="B9" s="5" t="inlineStr">
        <is>
          <t>CA MANILA</t>
        </is>
      </c>
      <c r="C9" s="23" t="n">
        <v>548</v>
      </c>
      <c r="D9" s="11" t="n">
        <v>46317.70833333334</v>
      </c>
      <c r="E9" s="11" t="n">
        <v>46318.54166666666</v>
      </c>
      <c r="F9" s="11" t="n">
        <v>46320</v>
      </c>
      <c r="G9" s="24">
        <f>(E9-D9)*24</f>
        <v/>
      </c>
      <c r="H9" s="24">
        <f>(F9-E9)*24</f>
        <v/>
      </c>
      <c r="I9" s="23" t="inlineStr">
        <is>
          <t>–</t>
        </is>
      </c>
      <c r="J9" s="23" t="inlineStr"/>
    </row>
    <row r="10">
      <c r="A10" s="5" t="inlineStr">
        <is>
          <t>20C</t>
        </is>
      </c>
      <c r="B10" s="5" t="inlineStr">
        <is>
          <t>CAPE FAWLEY</t>
        </is>
      </c>
      <c r="C10" s="23" t="n">
        <v>558</v>
      </c>
      <c r="D10" s="11" t="n">
        <v>46316.45833333334</v>
      </c>
      <c r="E10" s="11" t="n">
        <v>46316.5</v>
      </c>
      <c r="F10" s="11" t="n">
        <v>46318.5</v>
      </c>
      <c r="G10" s="24">
        <f>(E10-D10)*24</f>
        <v/>
      </c>
      <c r="H10" s="24">
        <f>(F10-E10)*24</f>
        <v/>
      </c>
      <c r="I10" s="23" t="inlineStr">
        <is>
          <t>–</t>
        </is>
      </c>
      <c r="J10" s="23" t="inlineStr"/>
    </row>
    <row r="11">
      <c r="A11" s="5" t="inlineStr">
        <is>
          <t>20C</t>
        </is>
      </c>
      <c r="B11" s="5" t="inlineStr">
        <is>
          <t>HORAI BRIDGE</t>
        </is>
      </c>
      <c r="C11" s="23" t="n">
        <v>564</v>
      </c>
      <c r="D11" s="11" t="n">
        <v>46318.04166666666</v>
      </c>
      <c r="E11" s="11" t="n">
        <v>46318.5</v>
      </c>
      <c r="F11" s="11" t="n">
        <v>46319.625</v>
      </c>
      <c r="G11" s="24">
        <f>(E11-D11)*24</f>
        <v/>
      </c>
      <c r="H11" s="24">
        <f>(F11-E11)*24</f>
        <v/>
      </c>
      <c r="I11" s="23" t="inlineStr">
        <is>
          <t>–</t>
        </is>
      </c>
      <c r="J11" s="23" t="inlineStr"/>
    </row>
    <row r="12">
      <c r="A12" s="6" t="inlineStr">
        <is>
          <t>20E</t>
        </is>
      </c>
      <c r="B12" s="6" t="inlineStr">
        <is>
          <t>MTT BANGKOK</t>
        </is>
      </c>
      <c r="C12" s="17" t="n">
        <v>564</v>
      </c>
      <c r="D12" s="20" t="n">
        <v>46315.625</v>
      </c>
      <c r="E12" s="20" t="n">
        <v>46315.75</v>
      </c>
      <c r="F12" s="20" t="n">
        <v>46316.83333333334</v>
      </c>
      <c r="G12" s="26">
        <f>(E12-D12)*24</f>
        <v/>
      </c>
      <c r="H12" s="26">
        <f>(F12-E12)*24</f>
        <v/>
      </c>
      <c r="I12" s="17" t="inlineStr">
        <is>
          <t>–</t>
        </is>
      </c>
      <c r="J12" s="17" t="inlineStr">
        <is>
          <t>Yes</t>
        </is>
      </c>
    </row>
    <row r="13">
      <c r="A13" s="5" t="inlineStr">
        <is>
          <t>20E</t>
        </is>
      </c>
      <c r="B13" s="5" t="inlineStr">
        <is>
          <t>SKY ORION</t>
        </is>
      </c>
      <c r="C13" s="23" t="n">
        <v>565</v>
      </c>
      <c r="D13" s="11" t="n">
        <v>46316.91666666666</v>
      </c>
      <c r="E13" s="11" t="n">
        <v>46317.54166666666</v>
      </c>
      <c r="F13" s="11" t="n">
        <v>46319.04166666666</v>
      </c>
      <c r="G13" s="24">
        <f>(E13-D13)*24</f>
        <v/>
      </c>
      <c r="H13" s="24">
        <f>(F13-E13)*24</f>
        <v/>
      </c>
      <c r="I13" s="23" t="inlineStr">
        <is>
          <t>–</t>
        </is>
      </c>
      <c r="J13" s="23" t="inlineStr"/>
    </row>
    <row r="14">
      <c r="A14" s="5" t="inlineStr">
        <is>
          <t>20F</t>
        </is>
      </c>
      <c r="B14" s="5" t="inlineStr">
        <is>
          <t>RENOWN</t>
        </is>
      </c>
      <c r="C14" s="23" t="n">
        <v>458</v>
      </c>
      <c r="D14" s="11" t="n">
        <v>46315.75</v>
      </c>
      <c r="E14" s="11" t="n">
        <v>46317.41666666666</v>
      </c>
      <c r="F14" s="11" t="n">
        <v>46318.41666666666</v>
      </c>
      <c r="G14" s="24">
        <f>(E14-D14)*24</f>
        <v/>
      </c>
      <c r="H14" s="24">
        <f>(F14-E14)*24</f>
        <v/>
      </c>
      <c r="I14" s="23" t="inlineStr">
        <is>
          <t>–</t>
        </is>
      </c>
      <c r="J14" s="23" t="inlineStr"/>
    </row>
    <row r="15">
      <c r="A15" s="5" t="inlineStr">
        <is>
          <t>20F</t>
        </is>
      </c>
      <c r="B15" s="5" t="inlineStr">
        <is>
          <t>WAN HAI 272</t>
        </is>
      </c>
      <c r="C15" s="23" t="n">
        <v>565</v>
      </c>
      <c r="D15" s="11" t="n">
        <v>46318.41666666666</v>
      </c>
      <c r="E15" s="11" t="n">
        <v>46318.41666666666</v>
      </c>
      <c r="F15" s="11" t="n">
        <v>46319.58333333334</v>
      </c>
      <c r="G15" s="24">
        <f>(E15-D15)*24</f>
        <v/>
      </c>
      <c r="H15" s="24">
        <f>(F15-E15)*24</f>
        <v/>
      </c>
      <c r="I15" s="23" t="inlineStr">
        <is>
          <t>–</t>
        </is>
      </c>
      <c r="J15" s="23" t="inlineStr"/>
    </row>
    <row r="16">
      <c r="A16" s="5" t="inlineStr">
        <is>
          <t>22A</t>
        </is>
      </c>
      <c r="B16" s="5" t="inlineStr">
        <is>
          <t>WAN HAI 272</t>
        </is>
      </c>
      <c r="C16" s="23" t="n">
        <v>565</v>
      </c>
      <c r="D16" s="11" t="n">
        <v>46317.29166666666</v>
      </c>
      <c r="E16" s="11" t="n">
        <v>46317.66666666666</v>
      </c>
      <c r="F16" s="11" t="n">
        <v>46318.41666666666</v>
      </c>
      <c r="G16" s="24">
        <f>(E16-D16)*24</f>
        <v/>
      </c>
      <c r="H16" s="24">
        <f>(F16-E16)*24</f>
        <v/>
      </c>
      <c r="I16" s="23" t="inlineStr">
        <is>
          <t>20F</t>
        </is>
      </c>
      <c r="J16" s="23" t="inlineStr"/>
    </row>
    <row r="19">
      <c r="A19" s="34" t="inlineStr">
        <is>
          <t>Berth &amp; gate notices on this sheet</t>
        </is>
      </c>
    </row>
    <row r="20">
      <c r="A20" s="3" t="inlineStr">
        <is>
          <t>Berth / Gate</t>
        </is>
      </c>
      <c r="B20" s="3" t="inlineStr">
        <is>
          <t>Type</t>
        </is>
      </c>
      <c r="C20" s="3" t="n"/>
      <c r="D20" s="3" t="inlineStr">
        <is>
          <t>From</t>
        </is>
      </c>
      <c r="E20" s="3" t="inlineStr">
        <is>
          <t>To</t>
        </is>
      </c>
      <c r="F20" s="3" t="inlineStr">
        <is>
          <t>Notice / change vs previous sheet</t>
        </is>
      </c>
      <c r="G20" s="35" t="n"/>
      <c r="H20" s="35" t="n"/>
      <c r="I20" s="35" t="n"/>
      <c r="J20" s="36" t="n"/>
    </row>
    <row r="21">
      <c r="A21" s="39" t="inlineStr">
        <is>
          <t>No notices on this sheet</t>
        </is>
      </c>
    </row>
  </sheetData>
  <mergeCells count="1">
    <mergeCell ref="F20:J2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2026-10-21T16:14:47Z</dcterms:created>
  <dcterms:modified xmlns:dcterms="http://purl.org/dc/terms/" xmlns:xsi="http://www.w3.org/2001/XMLSchema-instance" xsi:type="dcterms:W3CDTF">2026-10-21T16:14:47Z</dcterms:modified>
</cp:coreProperties>
</file>