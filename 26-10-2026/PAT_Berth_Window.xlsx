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165" fontId="5" fillId="3" borderId="2" applyAlignment="1" pivotButton="0" quotePrefix="0" xfId="0">
      <alignment horizontal="center" vertical="center"/>
    </xf>
    <xf numFmtId="167" fontId="5" fillId="3" borderId="2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26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KANWAY FORTUNE</t>
        </is>
      </c>
      <c r="C4" s="23" t="n">
        <v>564</v>
      </c>
      <c r="D4" s="43" t="n">
        <v>46320.25</v>
      </c>
      <c r="E4" s="43" t="n">
        <v>46320.625</v>
      </c>
      <c r="F4" s="43" t="n">
        <v>46321.66666666666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KUO LONG</t>
        </is>
      </c>
      <c r="C5" s="23" t="n">
        <v>554</v>
      </c>
      <c r="D5" s="43" t="n">
        <v>46292.20833333334</v>
      </c>
      <c r="E5" s="43" t="n">
        <v>46292.20833333334</v>
      </c>
      <c r="F5" s="43" t="n">
        <v>46293.25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20B</t>
        </is>
      </c>
      <c r="B6" s="5" t="inlineStr">
        <is>
          <t>ASL TAIPEIS</t>
        </is>
      </c>
      <c r="C6" s="23" t="n">
        <v>564</v>
      </c>
      <c r="D6" s="43" t="n">
        <v>46320.25</v>
      </c>
      <c r="E6" s="43" t="n">
        <v>46320.58333333334</v>
      </c>
      <c r="F6" s="43" t="n">
        <v>46321.58333333334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XIN AN</t>
        </is>
      </c>
      <c r="C7" s="23" t="n">
        <v>564</v>
      </c>
      <c r="D7" s="43" t="n">
        <v>46321.75</v>
      </c>
      <c r="E7" s="43" t="n">
        <v>46292.16666666666</v>
      </c>
      <c r="F7" s="43" t="n">
        <v>46293.20833333334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20B</t>
        </is>
      </c>
      <c r="B8" s="5" t="inlineStr">
        <is>
          <t>HE JIN</t>
        </is>
      </c>
      <c r="C8" s="23" t="n">
        <v>552</v>
      </c>
      <c r="D8" s="43" t="n">
        <v>46293.25</v>
      </c>
      <c r="E8" s="43" t="n">
        <v>46293.25</v>
      </c>
      <c r="F8" s="43" t="n">
        <v>46294.58333333334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20C</t>
        </is>
      </c>
      <c r="B9" s="5" t="inlineStr">
        <is>
          <t>ZHONG GU BEI HAI</t>
        </is>
      </c>
      <c r="C9" s="23" t="n">
        <v>561</v>
      </c>
      <c r="D9" s="43" t="n">
        <v>46321.625</v>
      </c>
      <c r="E9" s="43" t="n">
        <v>46321.625</v>
      </c>
      <c r="F9" s="43" t="n">
        <v>46293.125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20C</t>
        </is>
      </c>
      <c r="B10" s="5" t="inlineStr">
        <is>
          <t>M MARINER</t>
        </is>
      </c>
      <c r="C10" s="23" t="n">
        <v>449</v>
      </c>
      <c r="D10" s="43" t="n">
        <v>46293.125</v>
      </c>
      <c r="E10" s="43" t="n">
        <v>46293.20833333334</v>
      </c>
      <c r="F10" s="43" t="n">
        <v>46293.83333333334</v>
      </c>
      <c r="G10" s="24">
        <f>(E10-D10)*24</f>
        <v/>
      </c>
      <c r="H10" s="24">
        <f>(F10-E10)*24</f>
        <v/>
      </c>
      <c r="I10" s="23" t="inlineStr">
        <is>
          <t>4A</t>
        </is>
      </c>
      <c r="J10" s="23" t="inlineStr"/>
    </row>
    <row r="11">
      <c r="A11" s="5" t="inlineStr">
        <is>
          <t>20C</t>
        </is>
      </c>
      <c r="B11" s="5" t="inlineStr">
        <is>
          <t>SAWASDEE VEGA</t>
        </is>
      </c>
      <c r="C11" s="23" t="n">
        <v>564</v>
      </c>
      <c r="D11" s="43" t="n">
        <v>46293.95833333334</v>
      </c>
      <c r="E11" s="43" t="n">
        <v>46294.20833333334</v>
      </c>
      <c r="F11" s="43" t="n">
        <v>46295.66666666666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20D</t>
        </is>
      </c>
      <c r="B12" s="5" t="inlineStr">
        <is>
          <t>KMTC BANGKOK</t>
        </is>
      </c>
      <c r="C12" s="23" t="n">
        <v>565</v>
      </c>
      <c r="D12" s="43" t="n">
        <v>46320.25</v>
      </c>
      <c r="E12" s="43" t="n">
        <v>46320.25</v>
      </c>
      <c r="F12" s="43" t="n">
        <v>46292.125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3">
      <c r="A13" s="5" t="inlineStr">
        <is>
          <t>20D</t>
        </is>
      </c>
      <c r="B13" s="5" t="inlineStr">
        <is>
          <t>WAN HAI 276</t>
        </is>
      </c>
      <c r="C13" s="23" t="n">
        <v>564</v>
      </c>
      <c r="D13" s="43" t="n">
        <v>46292.66666666666</v>
      </c>
      <c r="E13" s="43" t="n">
        <v>46292.66666666666</v>
      </c>
      <c r="F13" s="43" t="n">
        <v>46294.16666666666</v>
      </c>
      <c r="G13" s="24">
        <f>(E13-D13)*24</f>
        <v/>
      </c>
      <c r="H13" s="24">
        <f>(F13-E13)*24</f>
        <v/>
      </c>
      <c r="I13" s="23" t="inlineStr">
        <is>
          <t>–</t>
        </is>
      </c>
      <c r="J13" s="23" t="inlineStr"/>
    </row>
    <row r="14">
      <c r="A14" s="5" t="inlineStr">
        <is>
          <t>20D</t>
        </is>
      </c>
      <c r="B14" s="5" t="inlineStr">
        <is>
          <t>KHARIS HERITAGE</t>
        </is>
      </c>
      <c r="C14" s="23" t="n">
        <v>482</v>
      </c>
      <c r="D14" s="43" t="n">
        <v>46293.70833333334</v>
      </c>
      <c r="E14" s="43" t="n">
        <v>46294.58333333334</v>
      </c>
      <c r="F14" s="43" t="n">
        <v>46295.54166666666</v>
      </c>
      <c r="G14" s="24">
        <f>(E14-D14)*24</f>
        <v/>
      </c>
      <c r="H14" s="24">
        <f>(F14-E14)*24</f>
        <v/>
      </c>
      <c r="I14" s="23" t="inlineStr">
        <is>
          <t>–</t>
        </is>
      </c>
      <c r="J14" s="23" t="inlineStr"/>
    </row>
    <row r="15">
      <c r="A15" s="5" t="inlineStr">
        <is>
          <t>20E</t>
        </is>
      </c>
      <c r="B15" s="5" t="inlineStr">
        <is>
          <t>XIN MING ZHOU 106</t>
        </is>
      </c>
      <c r="C15" s="23" t="n">
        <v>564</v>
      </c>
      <c r="D15" s="43" t="n">
        <v>46320.41666666666</v>
      </c>
      <c r="E15" s="43" t="n">
        <v>46320.54166666666</v>
      </c>
      <c r="F15" s="43" t="n">
        <v>46321.5</v>
      </c>
      <c r="G15" s="24">
        <f>(E15-D15)*24</f>
        <v/>
      </c>
      <c r="H15" s="24">
        <f>(F15-E15)*24</f>
        <v/>
      </c>
      <c r="I15" s="23" t="inlineStr">
        <is>
          <t>–</t>
        </is>
      </c>
      <c r="J15" s="23" t="inlineStr"/>
    </row>
    <row r="16">
      <c r="A16" s="5" t="inlineStr">
        <is>
          <t>20E</t>
        </is>
      </c>
      <c r="B16" s="5" t="inlineStr">
        <is>
          <t>KMTC TOKYO</t>
        </is>
      </c>
      <c r="C16" s="23" t="n">
        <v>565</v>
      </c>
      <c r="D16" s="43" t="n">
        <v>46292.16666666666</v>
      </c>
      <c r="E16" s="43" t="n">
        <v>46292.16666666666</v>
      </c>
      <c r="F16" s="43" t="n">
        <v>46293.625</v>
      </c>
      <c r="G16" s="24">
        <f>(E16-D16)*24</f>
        <v/>
      </c>
      <c r="H16" s="24">
        <f>(F16-E16)*24</f>
        <v/>
      </c>
      <c r="I16" s="23" t="inlineStr">
        <is>
          <t>–</t>
        </is>
      </c>
      <c r="J16" s="23" t="inlineStr"/>
    </row>
    <row r="17">
      <c r="A17" s="5" t="inlineStr">
        <is>
          <t>20E</t>
        </is>
      </c>
      <c r="B17" s="5" t="inlineStr">
        <is>
          <t>KMTC NAGOYA</t>
        </is>
      </c>
      <c r="C17" s="23" t="n">
        <v>565</v>
      </c>
      <c r="D17" s="43" t="n">
        <v>46293.79166666666</v>
      </c>
      <c r="E17" s="43" t="n">
        <v>46294.20833333334</v>
      </c>
      <c r="F17" s="43" t="n">
        <v>46295.66666666666</v>
      </c>
      <c r="G17" s="24">
        <f>(E17-D17)*24</f>
        <v/>
      </c>
      <c r="H17" s="24">
        <f>(F17-E17)*24</f>
        <v/>
      </c>
      <c r="I17" s="23" t="inlineStr">
        <is>
          <t>–</t>
        </is>
      </c>
      <c r="J17" s="23" t="inlineStr"/>
    </row>
    <row r="18">
      <c r="A18" s="5" t="inlineStr">
        <is>
          <t>20F</t>
        </is>
      </c>
      <c r="B18" s="5" t="inlineStr">
        <is>
          <t>HEUNG A HOCHIMINH</t>
        </is>
      </c>
      <c r="C18" s="23" t="n">
        <v>565</v>
      </c>
      <c r="D18" s="43" t="n">
        <v>46320.58333333334</v>
      </c>
      <c r="E18" s="43" t="n">
        <v>46320.625</v>
      </c>
      <c r="F18" s="43" t="n">
        <v>46292.16666666666</v>
      </c>
      <c r="G18" s="24">
        <f>(E18-D18)*24</f>
        <v/>
      </c>
      <c r="H18" s="24">
        <f>(F18-E18)*24</f>
        <v/>
      </c>
      <c r="I18" s="23" t="inlineStr">
        <is>
          <t>–</t>
        </is>
      </c>
      <c r="J18" s="23" t="inlineStr"/>
    </row>
    <row r="19">
      <c r="A19" s="6" t="inlineStr">
        <is>
          <t>20F</t>
        </is>
      </c>
      <c r="B19" s="6" t="inlineStr">
        <is>
          <t>PUNNYA NAVEE (barge)</t>
        </is>
      </c>
      <c r="C19" s="17" t="n">
        <v>304</v>
      </c>
      <c r="D19" s="44" t="n">
        <v>46292.20833333334</v>
      </c>
      <c r="E19" s="44" t="n">
        <v>46292.20833333334</v>
      </c>
      <c r="F19" s="44" t="n">
        <v>46292.66666666666</v>
      </c>
      <c r="G19" s="26">
        <f>(E19-D19)*24</f>
        <v/>
      </c>
      <c r="H19" s="26">
        <f>(F19-E19)*24</f>
        <v/>
      </c>
      <c r="I19" s="17" t="inlineStr">
        <is>
          <t>–</t>
        </is>
      </c>
      <c r="J19" s="17" t="inlineStr">
        <is>
          <t>Yes</t>
        </is>
      </c>
    </row>
    <row r="20">
      <c r="A20" s="5" t="inlineStr">
        <is>
          <t>20F</t>
        </is>
      </c>
      <c r="B20" s="5" t="inlineStr">
        <is>
          <t>M ODYSSEY</t>
        </is>
      </c>
      <c r="C20" s="23" t="n">
        <v>449</v>
      </c>
      <c r="D20" s="43" t="n">
        <v>46293.375</v>
      </c>
      <c r="E20" s="43" t="n">
        <v>46293.375</v>
      </c>
      <c r="F20" s="43" t="n">
        <v>46294.25</v>
      </c>
      <c r="G20" s="24">
        <f>(E20-D20)*24</f>
        <v/>
      </c>
      <c r="H20" s="24">
        <f>(F20-E20)*24</f>
        <v/>
      </c>
      <c r="I20" s="23" t="inlineStr">
        <is>
          <t>4A</t>
        </is>
      </c>
      <c r="J20" s="23" t="inlineStr"/>
    </row>
    <row r="23">
      <c r="A23" s="37" t="inlineStr">
        <is>
          <t>Berth &amp; gate notices on this sheet</t>
        </is>
      </c>
    </row>
    <row r="24">
      <c r="A24" s="3" t="inlineStr">
        <is>
          <t>Berth / Gate</t>
        </is>
      </c>
      <c r="B24" s="3" t="inlineStr">
        <is>
          <t>Type</t>
        </is>
      </c>
      <c r="C24" s="3" t="n"/>
      <c r="D24" s="3" t="inlineStr">
        <is>
          <t>From</t>
        </is>
      </c>
      <c r="E24" s="3" t="inlineStr">
        <is>
          <t>To</t>
        </is>
      </c>
      <c r="F24" s="3" t="inlineStr">
        <is>
          <t>Notice / change vs previous sheet</t>
        </is>
      </c>
      <c r="G24" s="38" t="n"/>
      <c r="H24" s="38" t="n"/>
      <c r="I24" s="38" t="n"/>
      <c r="J24" s="39" t="n"/>
    </row>
    <row r="25">
      <c r="A25" s="42" t="inlineStr">
        <is>
          <t>No notices on this sheet</t>
        </is>
      </c>
    </row>
  </sheetData>
  <mergeCells count="1">
    <mergeCell ref="F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2026-10-26T03:47:35Z</dcterms:created>
  <dcterms:modified xmlns:dcterms="http://purl.org/dc/terms/" xmlns:xsi="http://www.w3.org/2001/XMLSchema-instance" xsi:type="dcterms:W3CDTF">2026-10-26T03:47:48Z</dcterms:modified>
</cp:coreProperties>
</file>