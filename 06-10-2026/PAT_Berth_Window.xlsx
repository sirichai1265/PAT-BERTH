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6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left" vertical="center"/>
    </xf>
    <xf numFmtId="0" fontId="5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06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ZHONG GU BEI HAI</t>
        </is>
      </c>
      <c r="C4" s="23" t="n">
        <v>561</v>
      </c>
      <c r="D4" s="44" t="n">
        <v>46299.375</v>
      </c>
      <c r="E4" s="44" t="n">
        <v>46299.625</v>
      </c>
      <c r="F4" s="44" t="n">
        <v>46301.45833333334</v>
      </c>
      <c r="G4" s="28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KMTC TOKYO</t>
        </is>
      </c>
      <c r="C5" s="23" t="n">
        <v>565</v>
      </c>
      <c r="D5" s="44" t="n">
        <v>46301.54166666666</v>
      </c>
      <c r="E5" s="44" t="n">
        <v>46301.54166666666</v>
      </c>
      <c r="F5" s="44" t="n">
        <v>46303.5</v>
      </c>
      <c r="G5" s="28">
        <f>(F5-E5)*24</f>
        <v/>
      </c>
      <c r="H5" s="23" t="inlineStr">
        <is>
          <t>–</t>
        </is>
      </c>
      <c r="I5" s="23" t="inlineStr"/>
    </row>
    <row r="6">
      <c r="A6" s="5" t="inlineStr">
        <is>
          <t>20AB</t>
        </is>
      </c>
      <c r="B6" s="5" t="inlineStr">
        <is>
          <t>SITC HOCHIMINH</t>
        </is>
      </c>
      <c r="C6" s="23" t="n">
        <v>470</v>
      </c>
      <c r="D6" s="44" t="n">
        <v>46302.79166666666</v>
      </c>
      <c r="E6" s="44" t="n">
        <v>46303.58333333334</v>
      </c>
      <c r="F6" s="44" t="n">
        <v>46304.70833333334</v>
      </c>
      <c r="G6" s="28">
        <f>(F6-E6)*24</f>
        <v/>
      </c>
      <c r="H6" s="23" t="inlineStr">
        <is>
          <t>–</t>
        </is>
      </c>
      <c r="I6" s="23" t="inlineStr"/>
    </row>
    <row r="7">
      <c r="A7" s="5" t="inlineStr">
        <is>
          <t>20AB</t>
        </is>
      </c>
      <c r="B7" s="5" t="inlineStr">
        <is>
          <t>YM INCEPTION</t>
        </is>
      </c>
      <c r="C7" s="23" t="n">
        <v>564</v>
      </c>
      <c r="D7" s="44" t="n">
        <v>46303.54166666666</v>
      </c>
      <c r="E7" s="44" t="n">
        <v>46304.625</v>
      </c>
      <c r="F7" s="44" t="n">
        <v>46305.66666666666</v>
      </c>
      <c r="G7" s="28">
        <f>(F7-E7)*24</f>
        <v/>
      </c>
      <c r="H7" s="23" t="inlineStr">
        <is>
          <t>–</t>
        </is>
      </c>
      <c r="I7" s="23" t="inlineStr"/>
    </row>
    <row r="8">
      <c r="A8" s="5" t="inlineStr">
        <is>
          <t>20B</t>
        </is>
      </c>
      <c r="B8" s="5" t="inlineStr">
        <is>
          <t>SAWASDEE SPICA</t>
        </is>
      </c>
      <c r="C8" s="23" t="n">
        <v>564</v>
      </c>
      <c r="D8" s="44" t="n">
        <v>46300.875</v>
      </c>
      <c r="E8" s="44" t="n">
        <v>46301.54166666666</v>
      </c>
      <c r="F8" s="44" t="n">
        <v>46303.54166666666</v>
      </c>
      <c r="G8" s="28">
        <f>(F8-E8)*24</f>
        <v/>
      </c>
      <c r="H8" s="23" t="inlineStr">
        <is>
          <t>–</t>
        </is>
      </c>
      <c r="I8" s="23" t="inlineStr"/>
    </row>
    <row r="9">
      <c r="A9" s="5" t="inlineStr">
        <is>
          <t>20B</t>
        </is>
      </c>
      <c r="B9" s="5" t="inlineStr">
        <is>
          <t>GREEN PARK</t>
        </is>
      </c>
      <c r="C9" s="23" t="n">
        <v>482</v>
      </c>
      <c r="D9" s="44" t="n">
        <v>46302.45833333334</v>
      </c>
      <c r="E9" s="44" t="n">
        <v>46303.625</v>
      </c>
      <c r="F9" s="44" t="n">
        <v>46304.58333333334</v>
      </c>
      <c r="G9" s="28">
        <f>(F9-E9)*24</f>
        <v/>
      </c>
      <c r="H9" s="23" t="inlineStr">
        <is>
          <t>–</t>
        </is>
      </c>
      <c r="I9" s="23" t="inlineStr"/>
    </row>
    <row r="10">
      <c r="A10" s="5" t="inlineStr">
        <is>
          <t>20B</t>
        </is>
      </c>
      <c r="B10" s="5" t="inlineStr">
        <is>
          <t>HE JIN</t>
        </is>
      </c>
      <c r="C10" s="23" t="n">
        <v>552</v>
      </c>
      <c r="D10" s="44" t="n">
        <v>46302.875</v>
      </c>
      <c r="E10" s="44" t="n">
        <v>46304.625</v>
      </c>
      <c r="F10" s="44" t="n">
        <v>46305.625</v>
      </c>
      <c r="G10" s="28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20C</t>
        </is>
      </c>
      <c r="B11" s="5" t="inlineStr">
        <is>
          <t>SAWASDEE DENEB</t>
        </is>
      </c>
      <c r="C11" s="23" t="n">
        <v>564</v>
      </c>
      <c r="D11" s="44" t="n">
        <v>46300</v>
      </c>
      <c r="E11" s="44" t="n">
        <v>46300.5</v>
      </c>
      <c r="F11" s="44" t="n">
        <v>46302.45833333334</v>
      </c>
      <c r="G11" s="28">
        <f>(F11-E11)*24</f>
        <v/>
      </c>
      <c r="H11" s="23" t="inlineStr">
        <is>
          <t>–</t>
        </is>
      </c>
      <c r="I11" s="23" t="inlineStr"/>
    </row>
    <row r="12">
      <c r="A12" s="5" t="inlineStr">
        <is>
          <t>20C</t>
        </is>
      </c>
      <c r="B12" s="5" t="inlineStr">
        <is>
          <t>JOSCO LUCKY</t>
        </is>
      </c>
      <c r="C12" s="23" t="n">
        <v>564</v>
      </c>
      <c r="D12" s="44" t="n">
        <v>46301.875</v>
      </c>
      <c r="E12" s="44" t="n">
        <v>46302.54166666666</v>
      </c>
      <c r="F12" s="44" t="n">
        <v>46303.5</v>
      </c>
      <c r="G12" s="28">
        <f>(F12-E12)*24</f>
        <v/>
      </c>
      <c r="H12" s="23" t="inlineStr">
        <is>
          <t>–</t>
        </is>
      </c>
      <c r="I12" s="23" t="inlineStr"/>
    </row>
    <row r="13">
      <c r="A13" s="5" t="inlineStr">
        <is>
          <t>20C</t>
        </is>
      </c>
      <c r="B13" s="5" t="inlineStr">
        <is>
          <t>ZHONG GU DONG HAI</t>
        </is>
      </c>
      <c r="C13" s="23" t="n">
        <v>564</v>
      </c>
      <c r="D13" s="44" t="n">
        <v>46302.66666666666</v>
      </c>
      <c r="E13" s="44" t="n">
        <v>46303.58333333334</v>
      </c>
      <c r="F13" s="44" t="n">
        <v>46304.58333333334</v>
      </c>
      <c r="G13" s="28">
        <f>(F13-E13)*24</f>
        <v/>
      </c>
      <c r="H13" s="23" t="inlineStr">
        <is>
          <t>–</t>
        </is>
      </c>
      <c r="I13" s="23" t="inlineStr"/>
    </row>
    <row r="14">
      <c r="A14" s="5" t="inlineStr">
        <is>
          <t>20C</t>
        </is>
      </c>
      <c r="B14" s="5" t="inlineStr">
        <is>
          <t>SAWASDEE ATLANTIC</t>
        </is>
      </c>
      <c r="C14" s="23" t="n">
        <v>564</v>
      </c>
      <c r="D14" s="44" t="n">
        <v>46302.91666666666</v>
      </c>
      <c r="E14" s="44" t="n">
        <v>46304.625</v>
      </c>
      <c r="F14" s="44" t="n">
        <v>46306.125</v>
      </c>
      <c r="G14" s="28">
        <f>(F14-E14)*24</f>
        <v/>
      </c>
      <c r="H14" s="23" t="inlineStr">
        <is>
          <t>–</t>
        </is>
      </c>
      <c r="I14" s="23" t="inlineStr"/>
    </row>
    <row r="15">
      <c r="A15" s="5" t="inlineStr">
        <is>
          <t>20D</t>
        </is>
      </c>
      <c r="B15" s="5" t="inlineStr">
        <is>
          <t>MTT BANGKOK</t>
        </is>
      </c>
      <c r="C15" s="23" t="n">
        <v>564</v>
      </c>
      <c r="D15" s="44" t="n">
        <v>46302.5</v>
      </c>
      <c r="E15" s="44" t="n">
        <v>46302.58333333334</v>
      </c>
      <c r="F15" s="44" t="n">
        <v>46304.54166666666</v>
      </c>
      <c r="G15" s="28">
        <f>(F15-E15)*24</f>
        <v/>
      </c>
      <c r="H15" s="23" t="inlineStr">
        <is>
          <t>–</t>
        </is>
      </c>
      <c r="I15" s="23" t="inlineStr"/>
    </row>
    <row r="16">
      <c r="A16" s="5" t="inlineStr">
        <is>
          <t>20D</t>
        </is>
      </c>
      <c r="B16" s="5" t="inlineStr">
        <is>
          <t>KANWAY FORTUNE</t>
        </is>
      </c>
      <c r="C16" s="23" t="n">
        <v>564</v>
      </c>
      <c r="D16" s="44" t="n">
        <v>46303.75</v>
      </c>
      <c r="E16" s="44" t="n">
        <v>46304.625</v>
      </c>
      <c r="F16" s="44" t="n">
        <v>46306.125</v>
      </c>
      <c r="G16" s="28">
        <f>(F16-E16)*24</f>
        <v/>
      </c>
      <c r="H16" s="23" t="inlineStr">
        <is>
          <t>–</t>
        </is>
      </c>
      <c r="I16" s="23" t="inlineStr"/>
    </row>
    <row r="17">
      <c r="A17" s="5" t="inlineStr">
        <is>
          <t>20F</t>
        </is>
      </c>
      <c r="B17" s="5" t="inlineStr">
        <is>
          <t>XIN AN</t>
        </is>
      </c>
      <c r="C17" s="23" t="n">
        <v>564</v>
      </c>
      <c r="D17" s="44" t="n">
        <v>46302.54166666666</v>
      </c>
      <c r="E17" s="44" t="n">
        <v>46302.58333333334</v>
      </c>
      <c r="F17" s="44" t="n">
        <v>46304.54166666666</v>
      </c>
      <c r="G17" s="28">
        <f>(F17-E17)*24</f>
        <v/>
      </c>
      <c r="H17" s="23" t="inlineStr">
        <is>
          <t>–</t>
        </is>
      </c>
      <c r="I17" s="23" t="inlineStr"/>
    </row>
    <row r="20">
      <c r="A20" s="39" t="inlineStr">
        <is>
          <t>Berth &amp; gate notices on this sheet</t>
        </is>
      </c>
    </row>
    <row r="21">
      <c r="A21" s="3" t="inlineStr">
        <is>
          <t>Berth / Gate</t>
        </is>
      </c>
      <c r="B21" s="3" t="inlineStr">
        <is>
          <t>Type</t>
        </is>
      </c>
      <c r="C21" s="3" t="n"/>
      <c r="D21" s="3" t="inlineStr">
        <is>
          <t>From</t>
        </is>
      </c>
      <c r="E21" s="3" t="inlineStr">
        <is>
          <t>To</t>
        </is>
      </c>
      <c r="F21" s="3" t="inlineStr">
        <is>
          <t>Notice / change vs previous sheet</t>
        </is>
      </c>
      <c r="G21" s="40" t="n"/>
      <c r="H21" s="40" t="n"/>
      <c r="I21" s="41" t="n"/>
    </row>
    <row r="22" ht="42" customHeight="1">
      <c r="A22" s="16" t="inlineStr">
        <is>
          <t>20D</t>
        </is>
      </c>
      <c r="B22" s="16" t="inlineStr">
        <is>
          <t>Berth closed</t>
        </is>
      </c>
      <c r="C22" s="43" t="n"/>
      <c r="D22" s="45" t="n">
        <v>46299</v>
      </c>
      <c r="E22" s="45" t="n">
        <v>46319</v>
      </c>
      <c r="F22" s="16" t="inlineStr">
        <is>
          <t>Close on 4–24 Oct 2026 to renovate electric channel (MTT BANGKOK and KANWAY FORTUNE are still booked at 20D from 07/12)  —  Unchanged – conflicts with vessel bookings, please confirm</t>
        </is>
      </c>
      <c r="G22" s="40" t="n"/>
      <c r="H22" s="40" t="n"/>
      <c r="I22" s="41" t="n"/>
    </row>
    <row r="23" ht="42" customHeight="1">
      <c r="A23" s="9" t="inlineStr">
        <is>
          <t>20E / G.25</t>
        </is>
      </c>
      <c r="B23" s="9" t="inlineStr">
        <is>
          <t>Gate stopped</t>
        </is>
      </c>
      <c r="C23" s="42" t="n"/>
      <c r="D23" s="46" t="n">
        <v>46300</v>
      </c>
      <c r="E23" s="46" t="n">
        <v>46313</v>
      </c>
      <c r="F23" s="9" t="inlineStr">
        <is>
          <t>G.25 stops working 5–18 Oct 2026 to change trolley rail (in progress)  —  Unchanged</t>
        </is>
      </c>
      <c r="G23" s="40" t="n"/>
      <c r="H23" s="40" t="n"/>
      <c r="I23" s="41" t="n"/>
    </row>
  </sheetData>
  <mergeCells count="3">
    <mergeCell ref="F23:I23"/>
    <mergeCell ref="F21:I21"/>
    <mergeCell ref="F22:I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2026-10-09T03:07:46Z</dcterms:created>
  <dcterms:modified xmlns:dcterms="http://purl.org/dc/terms/" xmlns:xsi="http://www.w3.org/2001/XMLSchema-instance" xsi:type="dcterms:W3CDTF">2026-10-09T03:07:47Z</dcterms:modified>
</cp:coreProperties>
</file>