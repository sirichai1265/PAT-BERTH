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ssel Continuity" sheetId="1" state="visible" r:id="rId1"/>
    <sheet xmlns:r="http://schemas.openxmlformats.org/officeDocument/2006/relationships" name="Berth Notices" sheetId="2" state="visible" r:id="rId2"/>
    <sheet xmlns:r="http://schemas.openxmlformats.org/officeDocument/2006/relationships" name="28 Sep 2026" sheetId="3" state="visible" r:id="rId3"/>
    <sheet xmlns:r="http://schemas.openxmlformats.org/officeDocument/2006/relationships" name="29 Sep 2026" sheetId="4" state="visible" r:id="rId4"/>
    <sheet xmlns:r="http://schemas.openxmlformats.org/officeDocument/2006/relationships" name="30 Sep 2026" sheetId="5" state="visible" r:id="rId5"/>
    <sheet xmlns:r="http://schemas.openxmlformats.org/officeDocument/2006/relationships" name="01 Oct 2026" sheetId="6" state="visible" r:id="rId6"/>
    <sheet xmlns:r="http://schemas.openxmlformats.org/officeDocument/2006/relationships" name="02 Oct 2026" sheetId="7" state="visible" r:id="rId7"/>
    <sheet xmlns:r="http://schemas.openxmlformats.org/officeDocument/2006/relationships" name="03 Oct 2026" sheetId="8" state="visible" r:id="rId8"/>
    <sheet xmlns:r="http://schemas.openxmlformats.org/officeDocument/2006/relationships" name="04 Oct 2026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-mmm hh:mm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32" customWidth="1" min="4" max="4"/>
    <col width="36" customWidth="1" min="5" max="5"/>
    <col width="36" customWidth="1" min="6" max="6"/>
    <col width="40" customWidth="1" min="7" max="7"/>
    <col width="40" customWidth="1" min="8" max="8"/>
  </cols>
  <sheetData>
    <row r="1">
      <c r="A1" s="1" t="inlineStr">
        <is>
          <t>PAT Berth Window — Vessel Continuity Across Sheets</t>
        </is>
      </c>
    </row>
    <row r="2">
      <c r="A2" s="2" t="inlineStr">
        <is>
          <t>Port Authority of Thailand · Bangkok Port (THBKK). ‘→ 20X’ = berth reassigned from previous sheet.</t>
        </is>
      </c>
    </row>
    <row r="4">
      <c r="A4" s="3" t="inlineStr">
        <is>
          <t>Vessel</t>
        </is>
      </c>
      <c r="B4" s="3" t="inlineStr">
        <is>
          <t>28 Sep 2026</t>
        </is>
      </c>
      <c r="C4" s="3" t="inlineStr">
        <is>
          <t>29 Sep 2026</t>
        </is>
      </c>
      <c r="D4" s="3" t="inlineStr">
        <is>
          <t>30 Sep 2026</t>
        </is>
      </c>
      <c r="E4" s="3" t="inlineStr">
        <is>
          <t>01 Oct 2026</t>
        </is>
      </c>
      <c r="F4" s="3" t="inlineStr">
        <is>
          <t>02 Oct 2026</t>
        </is>
      </c>
      <c r="G4" s="3" t="inlineStr">
        <is>
          <t>03 Oct 2026</t>
        </is>
      </c>
      <c r="H4" s="3" t="inlineStr">
        <is>
          <t>04 Oct 2026</t>
        </is>
      </c>
    </row>
    <row r="5">
      <c r="A5" s="4" t="inlineStr">
        <is>
          <t>INFINITY</t>
        </is>
      </c>
      <c r="B5" s="5" t="inlineStr">
        <is>
          <t>alongside · 20AB</t>
        </is>
      </c>
      <c r="C5" s="5" t="inlineStr">
        <is>
          <t>alongside · 20AB (ETD 29/15)</t>
        </is>
      </c>
      <c r="D5" s="5" t="inlineStr">
        <is>
          <t>sailed</t>
        </is>
      </c>
      <c r="E5" s="5" t="inlineStr"/>
      <c r="F5" s="5" t="inlineStr"/>
      <c r="G5" s="5" t="inlineStr"/>
      <c r="H5" s="5" t="inlineStr"/>
    </row>
    <row r="6">
      <c r="A6" s="4" t="inlineStr">
        <is>
          <t>SKY CHALLENGE</t>
        </is>
      </c>
      <c r="B6" s="5" t="inlineStr">
        <is>
          <t>expected · 20AB</t>
        </is>
      </c>
      <c r="C6" s="5" t="inlineStr">
        <is>
          <t>alongside · 20AB</t>
        </is>
      </c>
      <c r="D6" s="5" t="inlineStr">
        <is>
          <t>alongside · 20AB</t>
        </is>
      </c>
      <c r="E6" s="5" t="inlineStr">
        <is>
          <t>sailed (01/04)</t>
        </is>
      </c>
      <c r="F6" s="5" t="inlineStr"/>
      <c r="G6" s="5" t="inlineStr"/>
      <c r="H6" s="5" t="inlineStr"/>
    </row>
    <row r="7">
      <c r="A7" s="4" t="inlineStr">
        <is>
          <t>KMTC GWANGYANG</t>
        </is>
      </c>
      <c r="B7" s="5" t="inlineStr">
        <is>
          <t>alongside · 20B</t>
        </is>
      </c>
      <c r="C7" s="5" t="inlineStr">
        <is>
          <t>sailed (29/05)</t>
        </is>
      </c>
      <c r="D7" s="5" t="inlineStr"/>
      <c r="E7" s="5" t="inlineStr"/>
      <c r="F7" s="5" t="inlineStr"/>
      <c r="G7" s="5" t="inlineStr"/>
      <c r="H7" s="5" t="inlineStr"/>
    </row>
    <row r="8">
      <c r="A8" s="4" t="inlineStr">
        <is>
          <t>MILLENNIUM BRIGHT</t>
        </is>
      </c>
      <c r="B8" s="5" t="inlineStr">
        <is>
          <t>at anchorage · 20B</t>
        </is>
      </c>
      <c r="C8" s="5" t="inlineStr">
        <is>
          <t>alongside · 20B</t>
        </is>
      </c>
      <c r="D8" s="5" t="inlineStr">
        <is>
          <t>sailed (30/04)</t>
        </is>
      </c>
      <c r="E8" s="5" t="inlineStr"/>
      <c r="F8" s="5" t="inlineStr"/>
      <c r="G8" s="5" t="inlineStr"/>
      <c r="H8" s="5" t="inlineStr"/>
    </row>
    <row r="9">
      <c r="A9" s="4" t="inlineStr">
        <is>
          <t>BANGKOK</t>
        </is>
      </c>
      <c r="B9" s="5" t="inlineStr">
        <is>
          <t>alongside · 20D</t>
        </is>
      </c>
      <c r="C9" s="5" t="inlineStr">
        <is>
          <t>alongside · 20D</t>
        </is>
      </c>
      <c r="D9" s="5" t="inlineStr">
        <is>
          <t>sailed (29/14)</t>
        </is>
      </c>
      <c r="E9" s="5" t="inlineStr"/>
      <c r="F9" s="5" t="inlineStr"/>
      <c r="G9" s="5" t="inlineStr"/>
      <c r="H9" s="5" t="inlineStr"/>
    </row>
    <row r="10">
      <c r="A10" s="4" t="inlineStr">
        <is>
          <t>TS CHIBA</t>
        </is>
      </c>
      <c r="B10" s="5" t="inlineStr">
        <is>
          <t>alongside · 20E</t>
        </is>
      </c>
      <c r="C10" s="5" t="inlineStr">
        <is>
          <t>sailed (29/04)</t>
        </is>
      </c>
      <c r="D10" s="5" t="inlineStr"/>
      <c r="E10" s="5" t="inlineStr"/>
      <c r="F10" s="5" t="inlineStr"/>
      <c r="G10" s="5" t="inlineStr"/>
      <c r="H10" s="5" t="inlineStr"/>
    </row>
    <row r="11">
      <c r="A11" s="4" t="inlineStr">
        <is>
          <t>HOPE C</t>
        </is>
      </c>
      <c r="B11" s="5" t="inlineStr">
        <is>
          <t>expected · 20E</t>
        </is>
      </c>
      <c r="C11" s="6" t="inlineStr">
        <is>
          <t>alongside → 20F</t>
        </is>
      </c>
      <c r="D11" s="5" t="inlineStr">
        <is>
          <t>alongside · 20F</t>
        </is>
      </c>
      <c r="E11" s="5" t="inlineStr">
        <is>
          <t>sailed (30/16)</t>
        </is>
      </c>
      <c r="F11" s="5" t="inlineStr"/>
      <c r="G11" s="5" t="inlineStr"/>
      <c r="H11" s="5" t="inlineStr"/>
    </row>
    <row r="12">
      <c r="A12" s="4" t="inlineStr">
        <is>
          <t>JARU BHUM</t>
        </is>
      </c>
      <c r="B12" s="5" t="inlineStr">
        <is>
          <t>alongside · 20F (7B)</t>
        </is>
      </c>
      <c r="C12" s="5" t="inlineStr">
        <is>
          <t>sailed (29/04)</t>
        </is>
      </c>
      <c r="D12" s="5" t="inlineStr"/>
      <c r="E12" s="5" t="inlineStr"/>
      <c r="F12" s="5" t="inlineStr"/>
      <c r="G12" s="5" t="inlineStr"/>
      <c r="H12" s="5" t="inlineStr"/>
    </row>
    <row r="13">
      <c r="A13" s="4" t="inlineStr">
        <is>
          <t>MITRA BHUM</t>
        </is>
      </c>
      <c r="B13" s="5" t="inlineStr">
        <is>
          <t>expected · 20F</t>
        </is>
      </c>
      <c r="C13" s="6" t="inlineStr">
        <is>
          <t>alongside → 20E</t>
        </is>
      </c>
      <c r="D13" s="5" t="inlineStr">
        <is>
          <t>alongside · 20E</t>
        </is>
      </c>
      <c r="E13" s="5" t="inlineStr">
        <is>
          <t>sailed (30/18)</t>
        </is>
      </c>
      <c r="F13" s="5" t="inlineStr"/>
      <c r="G13" s="5" t="inlineStr"/>
      <c r="H13" s="5" t="inlineStr"/>
    </row>
    <row r="14">
      <c r="A14" s="4" t="inlineStr">
        <is>
          <t>CAPE FAWLEY</t>
        </is>
      </c>
      <c r="B14" s="5" t="inlineStr">
        <is>
          <t>expected · 20AB</t>
        </is>
      </c>
      <c r="C14" s="6" t="inlineStr">
        <is>
          <t>expected → 20C</t>
        </is>
      </c>
      <c r="D14" s="6" t="inlineStr">
        <is>
          <t>alongside → 20AB</t>
        </is>
      </c>
      <c r="E14" s="5" t="inlineStr">
        <is>
          <t>alongside · 20AB</t>
        </is>
      </c>
      <c r="F14" s="5" t="inlineStr">
        <is>
          <t>alongside · 20AB (ETD now 02/15)</t>
        </is>
      </c>
      <c r="G14" s="5" t="inlineStr">
        <is>
          <t>sailed (02/15)</t>
        </is>
      </c>
      <c r="H14" s="5" t="inlineStr"/>
    </row>
    <row r="15">
      <c r="A15" s="4" t="inlineStr">
        <is>
          <t>M ODYSSEY</t>
        </is>
      </c>
      <c r="B15" s="5" t="inlineStr">
        <is>
          <t>expected · 20B (4A)</t>
        </is>
      </c>
      <c r="C15" s="5" t="inlineStr">
        <is>
          <t>alongside · 20B</t>
        </is>
      </c>
      <c r="D15" s="5" t="inlineStr">
        <is>
          <t>alongside · 20B</t>
        </is>
      </c>
      <c r="E15" s="5" t="inlineStr">
        <is>
          <t>sailed (01/05)</t>
        </is>
      </c>
      <c r="F15" s="5" t="inlineStr"/>
      <c r="G15" s="5" t="inlineStr"/>
      <c r="H15" s="5" t="inlineStr"/>
    </row>
    <row r="16">
      <c r="A16" s="4" t="inlineStr">
        <is>
          <t>KHARIS HERITAGE</t>
        </is>
      </c>
      <c r="B16" s="5" t="inlineStr"/>
      <c r="C16" s="5" t="inlineStr">
        <is>
          <t>expected · 20AB</t>
        </is>
      </c>
      <c r="D16" s="6" t="inlineStr">
        <is>
          <t>alongside → 20B (marked)</t>
        </is>
      </c>
      <c r="E16" s="6" t="inlineStr">
        <is>
          <t>alongside · 20B (marked)</t>
        </is>
      </c>
      <c r="F16" s="6" t="inlineStr">
        <is>
          <t>alongside · 20B (marked)</t>
        </is>
      </c>
      <c r="G16" s="5" t="inlineStr">
        <is>
          <t>sailed (02/17)</t>
        </is>
      </c>
      <c r="H16" s="5" t="inlineStr"/>
    </row>
    <row r="17">
      <c r="A17" s="4" t="inlineStr">
        <is>
          <t>ALS SUMIRE</t>
        </is>
      </c>
      <c r="B17" s="5" t="inlineStr"/>
      <c r="C17" s="5" t="inlineStr">
        <is>
          <t>expected · 20F (1C)</t>
        </is>
      </c>
      <c r="D17" s="6" t="inlineStr">
        <is>
          <t>alongside → 20D (marked, 1C)</t>
        </is>
      </c>
      <c r="E17" s="6" t="inlineStr">
        <is>
          <t>expected · 20D (marked, 1C)</t>
        </is>
      </c>
      <c r="F17" s="6" t="inlineStr">
        <is>
          <t>alongside · 20D (marked, 1C)</t>
        </is>
      </c>
      <c r="G17" s="5" t="inlineStr">
        <is>
          <t>sailed (02/17)</t>
        </is>
      </c>
      <c r="H17" s="5" t="inlineStr"/>
    </row>
    <row r="18">
      <c r="A18" s="4" t="inlineStr">
        <is>
          <t>KMTC BANGKOK</t>
        </is>
      </c>
      <c r="B18" s="5" t="inlineStr"/>
      <c r="C18" s="5" t="inlineStr"/>
      <c r="D18" s="5" t="inlineStr">
        <is>
          <t>expected · 20AB (new)</t>
        </is>
      </c>
      <c r="E18" s="5" t="inlineStr">
        <is>
          <t>expected · 20AB</t>
        </is>
      </c>
      <c r="F18" s="6" t="inlineStr">
        <is>
          <t>alongside → 20F</t>
        </is>
      </c>
      <c r="G18" s="5" t="inlineStr">
        <is>
          <t>alongside · 20F (D&amp;T 02/11)</t>
        </is>
      </c>
      <c r="H18" s="5" t="inlineStr">
        <is>
          <t>sailed (03/17)</t>
        </is>
      </c>
    </row>
    <row r="19">
      <c r="A19" s="4" t="inlineStr">
        <is>
          <t>WAN HAI 278</t>
        </is>
      </c>
      <c r="B19" s="5" t="inlineStr"/>
      <c r="C19" s="5" t="inlineStr"/>
      <c r="D19" s="5" t="inlineStr">
        <is>
          <t>expected · 20F (new)</t>
        </is>
      </c>
      <c r="E19" s="5" t="inlineStr">
        <is>
          <t>expected · 20F</t>
        </is>
      </c>
      <c r="F19" s="6" t="inlineStr">
        <is>
          <t>expected → 20E</t>
        </is>
      </c>
      <c r="G19" s="5" t="inlineStr">
        <is>
          <t>at anchorage · 20E (ETA 02/22, P.B 03/10)</t>
        </is>
      </c>
      <c r="H19" s="5" t="inlineStr">
        <is>
          <t>alongside · 20E (P.B 03/10)</t>
        </is>
      </c>
    </row>
    <row r="20">
      <c r="A20" s="4" t="inlineStr">
        <is>
          <t>ZHONG GU BEI HAI</t>
        </is>
      </c>
      <c r="B20" s="5" t="inlineStr"/>
      <c r="C20" s="5" t="inlineStr"/>
      <c r="D20" s="5" t="inlineStr"/>
      <c r="E20" s="5" t="inlineStr">
        <is>
          <t>expected · 20B (new)</t>
        </is>
      </c>
      <c r="F20" s="6" t="inlineStr">
        <is>
          <t>expected → 20AB</t>
        </is>
      </c>
      <c r="G20" s="6" t="inlineStr">
        <is>
          <t>expected · 20AB (marked, P.B slipped to 04/15)</t>
        </is>
      </c>
      <c r="H20" s="5" t="inlineStr">
        <is>
          <t>at anchorage · 20AB (ETA 04/09, P.B 04/15)</t>
        </is>
      </c>
    </row>
    <row r="21">
      <c r="A21" s="4" t="inlineStr">
        <is>
          <t>YM IMPROVEMENT</t>
        </is>
      </c>
      <c r="B21" s="5" t="inlineStr"/>
      <c r="C21" s="5" t="inlineStr"/>
      <c r="D21" s="5" t="inlineStr"/>
      <c r="E21" s="5" t="inlineStr">
        <is>
          <t>expected · 20C (new)</t>
        </is>
      </c>
      <c r="F21" s="6" t="inlineStr">
        <is>
          <t>expected → 20B</t>
        </is>
      </c>
      <c r="G21" s="5" t="inlineStr">
        <is>
          <t>expected · 20B (P.B slipped to 04/10)</t>
        </is>
      </c>
      <c r="H21" s="5" t="inlineStr">
        <is>
          <t>alongside · 20B (P.B 04/10)</t>
        </is>
      </c>
    </row>
    <row r="22">
      <c r="A22" s="4" t="inlineStr">
        <is>
          <t>RESURGENCE</t>
        </is>
      </c>
      <c r="B22" s="5" t="inlineStr"/>
      <c r="C22" s="5" t="inlineStr"/>
      <c r="D22" s="5" t="inlineStr"/>
      <c r="E22" s="5" t="inlineStr">
        <is>
          <t>expected · 20E (new)</t>
        </is>
      </c>
      <c r="F22" s="6" t="inlineStr">
        <is>
          <t>expected → 20AB</t>
        </is>
      </c>
      <c r="G22" s="5" t="inlineStr">
        <is>
          <t>expected · 20AB (ETD now 04/17)</t>
        </is>
      </c>
      <c r="H22" s="5" t="inlineStr">
        <is>
          <t>alongside · 20AB (ETD 04/17)</t>
        </is>
      </c>
    </row>
    <row r="23">
      <c r="A23" s="4" t="inlineStr">
        <is>
          <t>JOSCO LUCKY</t>
        </is>
      </c>
      <c r="B23" s="5" t="inlineStr"/>
      <c r="C23" s="5" t="inlineStr"/>
      <c r="D23" s="5" t="inlineStr"/>
      <c r="E23" s="5" t="inlineStr"/>
      <c r="F23" s="5" t="inlineStr">
        <is>
          <t>expected · 20B (new)</t>
        </is>
      </c>
      <c r="G23" s="6" t="inlineStr">
        <is>
          <t>expected → 20B</t>
        </is>
      </c>
      <c r="H23" s="6" t="inlineStr">
        <is>
          <t>expected → 20AB</t>
        </is>
      </c>
    </row>
    <row r="24">
      <c r="A24" s="4" t="inlineStr">
        <is>
          <t>SAWASDEE DENEB</t>
        </is>
      </c>
      <c r="B24" s="5" t="inlineStr"/>
      <c r="C24" s="5" t="inlineStr"/>
      <c r="D24" s="5" t="inlineStr"/>
      <c r="E24" s="5" t="inlineStr"/>
      <c r="F24" s="5" t="inlineStr">
        <is>
          <t>expected · 20C (new, first since reopening)</t>
        </is>
      </c>
      <c r="G24" s="5" t="inlineStr">
        <is>
          <t>expected · 20C</t>
        </is>
      </c>
      <c r="H24" s="5" t="inlineStr">
        <is>
          <t>expected · 20C</t>
        </is>
      </c>
    </row>
    <row r="25">
      <c r="A25" s="4" t="inlineStr">
        <is>
          <t>HARI BHUM (Barge)</t>
        </is>
      </c>
      <c r="B25" s="5" t="inlineStr"/>
      <c r="C25" s="5" t="inlineStr"/>
      <c r="D25" s="5" t="inlineStr"/>
      <c r="E25" s="5" t="inlineStr"/>
      <c r="F25" s="5" t="inlineStr">
        <is>
          <t>expected · 20D (new, barge)</t>
        </is>
      </c>
      <c r="G25" s="5" t="inlineStr">
        <is>
          <t>alongside · 20D (D&amp;T 03/07)</t>
        </is>
      </c>
      <c r="H25" s="5" t="inlineStr">
        <is>
          <t>sailed (03/16)</t>
        </is>
      </c>
    </row>
    <row r="26">
      <c r="A26" s="4" t="inlineStr">
        <is>
          <t>XIN MING ZHOU 98</t>
        </is>
      </c>
      <c r="B26" s="5" t="inlineStr"/>
      <c r="C26" s="5" t="inlineStr"/>
      <c r="D26" s="5" t="inlineStr"/>
      <c r="E26" s="5" t="inlineStr"/>
      <c r="F26" s="5" t="inlineStr">
        <is>
          <t>expected · 20F (new)</t>
        </is>
      </c>
      <c r="G26" s="5" t="inlineStr">
        <is>
          <t>expected · 20F</t>
        </is>
      </c>
      <c r="H26" s="5" t="inlineStr">
        <is>
          <t>alongside · 20F (P.B 04/09)</t>
        </is>
      </c>
    </row>
    <row r="27">
      <c r="A27" s="4" t="inlineStr">
        <is>
          <t>SAWASDEE SPICA</t>
        </is>
      </c>
      <c r="B27" s="5" t="inlineStr"/>
      <c r="C27" s="5" t="inlineStr"/>
      <c r="D27" s="5" t="inlineStr"/>
      <c r="E27" s="5" t="inlineStr"/>
      <c r="F27" s="5" t="inlineStr"/>
      <c r="G27" s="5" t="inlineStr">
        <is>
          <t>feeder sheet only · 20B (not on berthing sheet)</t>
        </is>
      </c>
      <c r="H27" s="5" t="inlineStr">
        <is>
          <t>expected · 20B (P.B 06/13, ETD 08/13)</t>
        </is>
      </c>
    </row>
    <row r="28">
      <c r="A28" s="4" t="inlineStr">
        <is>
          <t>KMTC TOKYO</t>
        </is>
      </c>
      <c r="B28" s="5" t="inlineStr"/>
      <c r="C28" s="5" t="inlineStr"/>
      <c r="D28" s="5" t="inlineStr"/>
      <c r="E28" s="5" t="inlineStr"/>
      <c r="F28" s="5" t="inlineStr"/>
      <c r="G28" s="5" t="inlineStr"/>
      <c r="H28" s="5" t="inlineStr">
        <is>
          <t>expected · 20F (new)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34" customWidth="1" min="3" max="3"/>
    <col width="14" customWidth="1" min="4" max="4"/>
    <col width="50" customWidth="1" min="5" max="5"/>
  </cols>
  <sheetData>
    <row r="1">
      <c r="A1" s="1" t="inlineStr">
        <is>
          <t>Berth Closures &amp; Gate Stoppages (as announced, by sheet date)</t>
        </is>
      </c>
    </row>
    <row r="3">
      <c r="A3" s="3" t="inlineStr">
        <is>
          <t>Berth / Gate</t>
        </is>
      </c>
      <c r="B3" s="3" t="inlineStr">
        <is>
          <t>First Announced</t>
        </is>
      </c>
      <c r="C3" s="3" t="inlineStr">
        <is>
          <t>Period (as of 04 Oct sheet)</t>
        </is>
      </c>
      <c r="D3" s="3" t="inlineStr">
        <is>
          <t>Status</t>
        </is>
      </c>
      <c r="E3" s="3" t="inlineStr">
        <is>
          <t>Notice Text</t>
        </is>
      </c>
    </row>
    <row r="4">
      <c r="A4" s="5" t="inlineStr">
        <is>
          <t>20AB / G.29</t>
        </is>
      </c>
      <c r="B4" s="5" t="inlineStr">
        <is>
          <t>29 Sep sheet</t>
        </is>
      </c>
      <c r="C4" s="5" t="inlineStr">
        <is>
          <t>29–30 Sep 2026 (ended)</t>
        </is>
      </c>
      <c r="D4" s="5" t="inlineStr">
        <is>
          <t>Gate stopped</t>
        </is>
      </c>
      <c r="E4" s="5" t="inlineStr">
        <is>
          <t>G.29 stops working 29–30 Sep 2026 to repair spreader</t>
        </is>
      </c>
    </row>
    <row r="5">
      <c r="A5" s="5" t="inlineStr">
        <is>
          <t>20C</t>
        </is>
      </c>
      <c r="B5" s="5" t="inlineStr">
        <is>
          <t>29 Sep sheet</t>
        </is>
      </c>
      <c r="C5" s="5" t="inlineStr">
        <is>
          <t>Closed until 5 Oct 2026 (slipped 1→3→5 Oct); cable splicing 4 Oct 09:00–12:00</t>
        </is>
      </c>
      <c r="D5" s="5" t="inlineStr">
        <is>
          <t>Berth closed</t>
        </is>
      </c>
      <c r="E5" s="5" t="inlineStr">
        <is>
          <t>Wharf to be utilised from 5 Oct 2026</t>
        </is>
      </c>
    </row>
    <row r="6">
      <c r="A6" s="5" t="inlineStr">
        <is>
          <t>20D</t>
        </is>
      </c>
      <c r="B6" s="5" t="inlineStr">
        <is>
          <t>29 Sep sheet</t>
        </is>
      </c>
      <c r="C6" s="5" t="inlineStr">
        <is>
          <t>4–24 Oct 2026 (03 Oct berthing sheet said 4–25)</t>
        </is>
      </c>
      <c r="D6" s="5" t="inlineStr">
        <is>
          <t>Berth closed</t>
        </is>
      </c>
      <c r="E6" s="5" t="inlineStr">
        <is>
          <t>Berth closed 4–24 Oct 2026 to renovate electric channel</t>
        </is>
      </c>
    </row>
    <row r="7">
      <c r="A7" s="5" t="inlineStr">
        <is>
          <t>20E / G.25</t>
        </is>
      </c>
      <c r="B7" s="5" t="inlineStr">
        <is>
          <t>29 Sep sheet</t>
        </is>
      </c>
      <c r="C7" s="5" t="inlineStr">
        <is>
          <t>From 5 Oct 12:00 to 18 Oct 2026 (slipped 1–15→3–18→5–18 Oct)</t>
        </is>
      </c>
      <c r="D7" s="5" t="inlineStr">
        <is>
          <t>Gate stopped</t>
        </is>
      </c>
      <c r="E7" s="5" t="inlineStr">
        <is>
          <t>G.25 stops working 5–18 Oct 2026 to change trolley rail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28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7" t="n">
        <v>565</v>
      </c>
      <c r="D4" s="8" t="n">
        <v>46293.29166666666</v>
      </c>
      <c r="E4" s="8" t="n">
        <v>46293.29166666666</v>
      </c>
      <c r="F4" s="8" t="n">
        <v>46294.625</v>
      </c>
      <c r="G4" s="9">
        <f>(F4-E4)*24</f>
        <v/>
      </c>
      <c r="H4" s="7" t="inlineStr">
        <is>
          <t>–</t>
        </is>
      </c>
      <c r="I4" s="7" t="inlineStr"/>
    </row>
    <row r="5">
      <c r="A5" s="5" t="inlineStr">
        <is>
          <t>20AB</t>
        </is>
      </c>
      <c r="B5" s="5" t="inlineStr">
        <is>
          <t>SKY CHALLENGE</t>
        </is>
      </c>
      <c r="C5" s="7" t="n">
        <v>565</v>
      </c>
      <c r="D5" s="8" t="n">
        <v>46294.45833333334</v>
      </c>
      <c r="E5" s="8" t="n">
        <v>46294.66666666666</v>
      </c>
      <c r="F5" s="8" t="n">
        <v>46296.16666666666</v>
      </c>
      <c r="G5" s="9">
        <f>(F5-E5)*24</f>
        <v/>
      </c>
      <c r="H5" s="7" t="inlineStr">
        <is>
          <t>–</t>
        </is>
      </c>
      <c r="I5" s="7" t="inlineStr"/>
    </row>
    <row r="6">
      <c r="A6" s="5" t="inlineStr">
        <is>
          <t>20AB</t>
        </is>
      </c>
      <c r="B6" s="5" t="inlineStr">
        <is>
          <t>CAPE FAWLEY</t>
        </is>
      </c>
      <c r="C6" s="7" t="n">
        <v>558</v>
      </c>
      <c r="D6" s="8" t="n">
        <v>46295.875</v>
      </c>
      <c r="E6" s="8" t="n">
        <v>46296.25</v>
      </c>
      <c r="F6" s="8" t="n">
        <v>46297.25</v>
      </c>
      <c r="G6" s="9">
        <f>(F6-E6)*24</f>
        <v/>
      </c>
      <c r="H6" s="7" t="inlineStr">
        <is>
          <t>–</t>
        </is>
      </c>
      <c r="I6" s="7" t="inlineStr"/>
    </row>
    <row r="7">
      <c r="A7" s="5" t="inlineStr">
        <is>
          <t>20B</t>
        </is>
      </c>
      <c r="B7" s="5" t="inlineStr">
        <is>
          <t>KMTC GWANGYANG</t>
        </is>
      </c>
      <c r="C7" s="7" t="n">
        <v>564</v>
      </c>
      <c r="D7" s="8" t="n">
        <v>46292.79166666666</v>
      </c>
      <c r="E7" s="8" t="n">
        <v>46292.79166666666</v>
      </c>
      <c r="F7" s="8" t="n">
        <v>46294.20833333334</v>
      </c>
      <c r="G7" s="9">
        <f>(F7-E7)*24</f>
        <v/>
      </c>
      <c r="H7" s="7" t="inlineStr">
        <is>
          <t>–</t>
        </is>
      </c>
      <c r="I7" s="7" t="inlineStr"/>
    </row>
    <row r="8">
      <c r="A8" s="5" t="inlineStr">
        <is>
          <t>20B</t>
        </is>
      </c>
      <c r="B8" s="5" t="inlineStr">
        <is>
          <t>MILLENNIUM BRIGHT</t>
        </is>
      </c>
      <c r="C8" s="7" t="n">
        <v>564</v>
      </c>
      <c r="D8" s="8" t="n">
        <v>46293.45833333334</v>
      </c>
      <c r="E8" s="8" t="n">
        <v>46294.20833333334</v>
      </c>
      <c r="F8" s="8" t="n">
        <v>46295.16666666666</v>
      </c>
      <c r="G8" s="9">
        <f>(F8-E8)*24</f>
        <v/>
      </c>
      <c r="H8" s="7" t="inlineStr">
        <is>
          <t>–</t>
        </is>
      </c>
      <c r="I8" s="7" t="inlineStr"/>
    </row>
    <row r="9">
      <c r="A9" s="5" t="inlineStr">
        <is>
          <t>20B</t>
        </is>
      </c>
      <c r="B9" s="5" t="inlineStr">
        <is>
          <t>M ODYSSEY</t>
        </is>
      </c>
      <c r="C9" s="7" t="n">
        <v>449</v>
      </c>
      <c r="D9" s="8" t="n">
        <v>46295.16666666666</v>
      </c>
      <c r="E9" s="8" t="n">
        <v>46295.20833333334</v>
      </c>
      <c r="F9" s="8" t="n">
        <v>46296.70833333334</v>
      </c>
      <c r="G9" s="9">
        <f>(F9-E9)*24</f>
        <v/>
      </c>
      <c r="H9" s="7" t="inlineStr">
        <is>
          <t>4A</t>
        </is>
      </c>
      <c r="I9" s="7" t="inlineStr"/>
    </row>
    <row r="10">
      <c r="A10" s="5" t="inlineStr">
        <is>
          <t>20D</t>
        </is>
      </c>
      <c r="B10" s="5" t="inlineStr">
        <is>
          <t>BANGKOK</t>
        </is>
      </c>
      <c r="C10" s="7" t="n">
        <v>551</v>
      </c>
      <c r="D10" s="8" t="n">
        <v>46292.625</v>
      </c>
      <c r="E10" s="8" t="n">
        <v>46292.625</v>
      </c>
      <c r="F10" s="8" t="n">
        <v>46294.58333333334</v>
      </c>
      <c r="G10" s="9">
        <f>(F10-E10)*24</f>
        <v/>
      </c>
      <c r="H10" s="7" t="inlineStr">
        <is>
          <t>–</t>
        </is>
      </c>
      <c r="I10" s="7" t="inlineStr"/>
    </row>
    <row r="11">
      <c r="A11" s="5" t="inlineStr">
        <is>
          <t>20E</t>
        </is>
      </c>
      <c r="B11" s="5" t="inlineStr">
        <is>
          <t>TS CHIBA</t>
        </is>
      </c>
      <c r="C11" s="7" t="n">
        <v>485</v>
      </c>
      <c r="D11" s="8" t="n">
        <v>46293.29166666666</v>
      </c>
      <c r="E11" s="8" t="n">
        <v>46293.29166666666</v>
      </c>
      <c r="F11" s="8" t="n">
        <v>46294.16666666666</v>
      </c>
      <c r="G11" s="9">
        <f>(F11-E11)*24</f>
        <v/>
      </c>
      <c r="H11" s="7" t="inlineStr">
        <is>
          <t>–</t>
        </is>
      </c>
      <c r="I11" s="7" t="inlineStr"/>
    </row>
    <row r="12">
      <c r="A12" s="5" t="inlineStr">
        <is>
          <t>20E</t>
        </is>
      </c>
      <c r="B12" s="5" t="inlineStr">
        <is>
          <t>HOPE C</t>
        </is>
      </c>
      <c r="C12" s="7" t="n">
        <v>481</v>
      </c>
      <c r="D12" s="8" t="n">
        <v>46294.70833333334</v>
      </c>
      <c r="E12" s="8" t="n">
        <v>46294.70833333334</v>
      </c>
      <c r="F12" s="8" t="n">
        <v>46296.20833333334</v>
      </c>
      <c r="G12" s="9">
        <f>(F12-E12)*24</f>
        <v/>
      </c>
      <c r="H12" s="7" t="inlineStr">
        <is>
          <t>–</t>
        </is>
      </c>
      <c r="I12" s="7" t="inlineStr"/>
    </row>
    <row r="13">
      <c r="A13" s="6" t="inlineStr">
        <is>
          <t>20F</t>
        </is>
      </c>
      <c r="B13" s="6" t="inlineStr">
        <is>
          <t>JARU BHUM</t>
        </is>
      </c>
      <c r="C13" s="10" t="n">
        <v>564</v>
      </c>
      <c r="D13" s="11" t="n">
        <v>46293.33333333334</v>
      </c>
      <c r="E13" s="11" t="n">
        <v>46293.33333333334</v>
      </c>
      <c r="F13" s="11" t="n">
        <v>46294.16666666666</v>
      </c>
      <c r="G13" s="12">
        <f>(F13-E13)*24</f>
        <v/>
      </c>
      <c r="H13" s="10" t="inlineStr">
        <is>
          <t>7B</t>
        </is>
      </c>
      <c r="I13" s="10" t="inlineStr">
        <is>
          <t>Yes</t>
        </is>
      </c>
    </row>
    <row r="14">
      <c r="A14" s="5" t="inlineStr">
        <is>
          <t>20F</t>
        </is>
      </c>
      <c r="B14" s="5" t="inlineStr">
        <is>
          <t>MITRA BHUM</t>
        </is>
      </c>
      <c r="C14" s="7" t="n">
        <v>485</v>
      </c>
      <c r="D14" s="8" t="n">
        <v>46294.95833333334</v>
      </c>
      <c r="E14" s="8" t="n">
        <v>46295.20833333334</v>
      </c>
      <c r="F14" s="8" t="n">
        <v>46295.75</v>
      </c>
      <c r="G14" s="9">
        <f>(F14-E14)*24</f>
        <v/>
      </c>
      <c r="H14" s="7" t="inlineStr">
        <is>
          <t>–</t>
        </is>
      </c>
      <c r="I14" s="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29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7" t="n">
        <v>565</v>
      </c>
      <c r="D4" s="8" t="n">
        <v>46292.75</v>
      </c>
      <c r="E4" s="8" t="n">
        <v>46293.20833333334</v>
      </c>
      <c r="F4" s="8" t="n">
        <v>46294.625</v>
      </c>
      <c r="G4" s="9">
        <f>(F4-E4)*24</f>
        <v/>
      </c>
      <c r="H4" s="7" t="inlineStr">
        <is>
          <t>–</t>
        </is>
      </c>
      <c r="I4" s="7" t="inlineStr"/>
    </row>
    <row r="5">
      <c r="A5" s="5" t="inlineStr">
        <is>
          <t>20AB</t>
        </is>
      </c>
      <c r="B5" s="5" t="inlineStr">
        <is>
          <t>SKY CHALLENGE</t>
        </is>
      </c>
      <c r="C5" s="7" t="n">
        <v>565</v>
      </c>
      <c r="D5" s="8" t="n">
        <v>46294.33333333334</v>
      </c>
      <c r="E5" s="8" t="n">
        <v>46294.66666666666</v>
      </c>
      <c r="F5" s="8" t="n">
        <v>46296.16666666666</v>
      </c>
      <c r="G5" s="9">
        <f>(F5-E5)*24</f>
        <v/>
      </c>
      <c r="H5" s="7" t="inlineStr">
        <is>
          <t>–</t>
        </is>
      </c>
      <c r="I5" s="7" t="inlineStr"/>
    </row>
    <row r="6">
      <c r="A6" s="5" t="inlineStr">
        <is>
          <t>20AB</t>
        </is>
      </c>
      <c r="B6" s="5" t="inlineStr">
        <is>
          <t>KHARIS HERITAGE</t>
        </is>
      </c>
      <c r="C6" s="7" t="n">
        <v>482</v>
      </c>
      <c r="D6" s="8" t="n">
        <v>46296.29166666666</v>
      </c>
      <c r="E6" s="8" t="n">
        <v>46296.29166666666</v>
      </c>
      <c r="F6" s="8" t="n">
        <v>46297.25</v>
      </c>
      <c r="G6" s="9">
        <f>(F6-E6)*24</f>
        <v/>
      </c>
      <c r="H6" s="7" t="inlineStr">
        <is>
          <t>–</t>
        </is>
      </c>
      <c r="I6" s="7" t="inlineStr"/>
    </row>
    <row r="7">
      <c r="A7" s="5" t="inlineStr">
        <is>
          <t>20B</t>
        </is>
      </c>
      <c r="B7" s="5" t="inlineStr">
        <is>
          <t>MILLENNIUM BRIGHT</t>
        </is>
      </c>
      <c r="C7" s="7" t="n">
        <v>564</v>
      </c>
      <c r="D7" s="8" t="n">
        <v>46293.45833333334</v>
      </c>
      <c r="E7" s="8" t="n">
        <v>46294.20833333334</v>
      </c>
      <c r="F7" s="8" t="n">
        <v>46295.16666666666</v>
      </c>
      <c r="G7" s="9">
        <f>(F7-E7)*24</f>
        <v/>
      </c>
      <c r="H7" s="7" t="inlineStr">
        <is>
          <t>–</t>
        </is>
      </c>
      <c r="I7" s="7" t="inlineStr"/>
    </row>
    <row r="8">
      <c r="A8" s="5" t="inlineStr">
        <is>
          <t>20B</t>
        </is>
      </c>
      <c r="B8" s="5" t="inlineStr">
        <is>
          <t>M ODYSSEY</t>
        </is>
      </c>
      <c r="C8" s="7" t="n">
        <v>449</v>
      </c>
      <c r="D8" s="8" t="n">
        <v>46295.16666666666</v>
      </c>
      <c r="E8" s="8" t="n">
        <v>46295.20833333334</v>
      </c>
      <c r="F8" s="8" t="n">
        <v>46296.20833333334</v>
      </c>
      <c r="G8" s="9">
        <f>(F8-E8)*24</f>
        <v/>
      </c>
      <c r="H8" s="7" t="inlineStr">
        <is>
          <t>4A</t>
        </is>
      </c>
      <c r="I8" s="7" t="inlineStr"/>
    </row>
    <row r="9">
      <c r="A9" s="5" t="inlineStr">
        <is>
          <t>20C</t>
        </is>
      </c>
      <c r="B9" s="5" t="inlineStr">
        <is>
          <t>CAPE FAWLEY</t>
        </is>
      </c>
      <c r="C9" s="7" t="n">
        <v>558</v>
      </c>
      <c r="D9" s="8" t="n">
        <v>46295.875</v>
      </c>
      <c r="E9" s="8" t="n">
        <v>46296.25</v>
      </c>
      <c r="F9" s="8" t="n">
        <v>46297.25</v>
      </c>
      <c r="G9" s="9">
        <f>(F9-E9)*24</f>
        <v/>
      </c>
      <c r="H9" s="7" t="inlineStr">
        <is>
          <t>–</t>
        </is>
      </c>
      <c r="I9" s="7" t="inlineStr"/>
    </row>
    <row r="10">
      <c r="A10" s="5" t="inlineStr">
        <is>
          <t>20D</t>
        </is>
      </c>
      <c r="B10" s="5" t="inlineStr">
        <is>
          <t>BANGKOK</t>
        </is>
      </c>
      <c r="C10" s="7" t="n">
        <v>551</v>
      </c>
      <c r="D10" s="8" t="n">
        <v>46292.54166666666</v>
      </c>
      <c r="E10" s="8" t="n">
        <v>46292.625</v>
      </c>
      <c r="F10" s="8" t="n">
        <v>46294.58333333334</v>
      </c>
      <c r="G10" s="9">
        <f>(F10-E10)*24</f>
        <v/>
      </c>
      <c r="H10" s="7" t="inlineStr">
        <is>
          <t>–</t>
        </is>
      </c>
      <c r="I10" s="7" t="inlineStr"/>
    </row>
    <row r="11">
      <c r="A11" s="5" t="inlineStr">
        <is>
          <t>20E</t>
        </is>
      </c>
      <c r="B11" s="5" t="inlineStr">
        <is>
          <t>MITRA BHUM</t>
        </is>
      </c>
      <c r="C11" s="7" t="n">
        <v>485</v>
      </c>
      <c r="D11" s="8" t="n">
        <v>46295.125</v>
      </c>
      <c r="E11" s="8" t="n">
        <v>46295.20833333334</v>
      </c>
      <c r="F11" s="8" t="n">
        <v>46295.75</v>
      </c>
      <c r="G11" s="9">
        <f>(F11-E11)*24</f>
        <v/>
      </c>
      <c r="H11" s="7" t="inlineStr">
        <is>
          <t>–</t>
        </is>
      </c>
      <c r="I11" s="7" t="inlineStr"/>
    </row>
    <row r="12">
      <c r="A12" s="5" t="inlineStr">
        <is>
          <t>20F</t>
        </is>
      </c>
      <c r="B12" s="5" t="inlineStr">
        <is>
          <t>HOPE C</t>
        </is>
      </c>
      <c r="C12" s="7" t="n">
        <v>481</v>
      </c>
      <c r="D12" s="8" t="n">
        <v>46294.70833333334</v>
      </c>
      <c r="E12" s="8" t="n">
        <v>46294.70833333334</v>
      </c>
      <c r="F12" s="8" t="n">
        <v>46295.66666666666</v>
      </c>
      <c r="G12" s="9">
        <f>(F12-E12)*24</f>
        <v/>
      </c>
      <c r="H12" s="7" t="inlineStr">
        <is>
          <t>–</t>
        </is>
      </c>
      <c r="I12" s="7" t="inlineStr"/>
    </row>
    <row r="13">
      <c r="A13" s="5" t="inlineStr">
        <is>
          <t>20F</t>
        </is>
      </c>
      <c r="B13" s="5" t="inlineStr">
        <is>
          <t>ALS SUMIRE</t>
        </is>
      </c>
      <c r="C13" s="7" t="n">
        <v>537</v>
      </c>
      <c r="D13" s="8" t="n">
        <v>46296.54166666666</v>
      </c>
      <c r="E13" s="8" t="n">
        <v>46296.70833333334</v>
      </c>
      <c r="F13" s="8" t="n">
        <v>46297.70833333334</v>
      </c>
      <c r="G13" s="9">
        <f>(F13-E13)*24</f>
        <v/>
      </c>
      <c r="H13" s="7" t="inlineStr">
        <is>
          <t>1C</t>
        </is>
      </c>
      <c r="I13" s="7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30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SKY CHALLENGE</t>
        </is>
      </c>
      <c r="C4" s="7" t="n">
        <v>565</v>
      </c>
      <c r="D4" s="8" t="n">
        <v>46294.33333333334</v>
      </c>
      <c r="E4" s="8" t="n">
        <v>46294.66666666666</v>
      </c>
      <c r="F4" s="8" t="n">
        <v>46296.16666666666</v>
      </c>
      <c r="G4" s="9">
        <f>(F4-E4)*24</f>
        <v/>
      </c>
      <c r="H4" s="7" t="inlineStr">
        <is>
          <t>–</t>
        </is>
      </c>
      <c r="I4" s="7" t="inlineStr"/>
    </row>
    <row r="5">
      <c r="A5" s="5" t="inlineStr">
        <is>
          <t>20AB</t>
        </is>
      </c>
      <c r="B5" s="5" t="inlineStr">
        <is>
          <t>CAPE FAWLEY</t>
        </is>
      </c>
      <c r="C5" s="7" t="n">
        <v>558</v>
      </c>
      <c r="D5" s="8" t="n">
        <v>46295.875</v>
      </c>
      <c r="E5" s="8" t="n">
        <v>46296.25</v>
      </c>
      <c r="F5" s="8" t="n">
        <v>46297.25</v>
      </c>
      <c r="G5" s="9">
        <f>(F5-E5)*24</f>
        <v/>
      </c>
      <c r="H5" s="7" t="inlineStr">
        <is>
          <t>–</t>
        </is>
      </c>
      <c r="I5" s="7" t="inlineStr"/>
    </row>
    <row r="6">
      <c r="A6" s="5" t="inlineStr">
        <is>
          <t>20AB</t>
        </is>
      </c>
      <c r="B6" s="5" t="inlineStr">
        <is>
          <t>KMTC BANGKOK</t>
        </is>
      </c>
      <c r="C6" s="7" t="n">
        <v>565</v>
      </c>
      <c r="D6" s="8" t="n">
        <v>46297.25</v>
      </c>
      <c r="E6" s="8" t="n">
        <v>46297.33333333334</v>
      </c>
      <c r="F6" s="8" t="n">
        <v>46298.70833333334</v>
      </c>
      <c r="G6" s="9">
        <f>(F6-E6)*24</f>
        <v/>
      </c>
      <c r="H6" s="7" t="inlineStr">
        <is>
          <t>–</t>
        </is>
      </c>
      <c r="I6" s="7" t="inlineStr"/>
    </row>
    <row r="7">
      <c r="A7" s="5" t="inlineStr">
        <is>
          <t>20B</t>
        </is>
      </c>
      <c r="B7" s="5" t="inlineStr">
        <is>
          <t>M ODYSSEY</t>
        </is>
      </c>
      <c r="C7" s="7" t="n">
        <v>449</v>
      </c>
      <c r="D7" s="8" t="n">
        <v>46295.16666666666</v>
      </c>
      <c r="E7" s="8" t="n">
        <v>46295.20833333334</v>
      </c>
      <c r="F7" s="8" t="n">
        <v>46296.20833333334</v>
      </c>
      <c r="G7" s="9">
        <f>(F7-E7)*24</f>
        <v/>
      </c>
      <c r="H7" s="7" t="inlineStr">
        <is>
          <t>4A</t>
        </is>
      </c>
      <c r="I7" s="7" t="inlineStr"/>
    </row>
    <row r="8">
      <c r="A8" s="6" t="inlineStr">
        <is>
          <t>20B</t>
        </is>
      </c>
      <c r="B8" s="6" t="inlineStr">
        <is>
          <t>KHARIS HERITAGE</t>
        </is>
      </c>
      <c r="C8" s="10" t="n">
        <v>482</v>
      </c>
      <c r="D8" s="11" t="n">
        <v>46296.45833333334</v>
      </c>
      <c r="E8" s="11" t="n">
        <v>46296.70833333334</v>
      </c>
      <c r="F8" s="11" t="n">
        <v>46297.70833333334</v>
      </c>
      <c r="G8" s="12">
        <f>(F8-E8)*24</f>
        <v/>
      </c>
      <c r="H8" s="10" t="inlineStr">
        <is>
          <t>–</t>
        </is>
      </c>
      <c r="I8" s="10" t="inlineStr">
        <is>
          <t>Yes</t>
        </is>
      </c>
    </row>
    <row r="9">
      <c r="A9" s="6" t="inlineStr">
        <is>
          <t>20D</t>
        </is>
      </c>
      <c r="B9" s="6" t="inlineStr">
        <is>
          <t>ALS SUMIRE</t>
        </is>
      </c>
      <c r="C9" s="10" t="n">
        <v>537</v>
      </c>
      <c r="D9" s="11" t="n">
        <v>46296.70833333334</v>
      </c>
      <c r="E9" s="11" t="n">
        <v>46296.70833333334</v>
      </c>
      <c r="F9" s="11" t="n">
        <v>46297.70833333334</v>
      </c>
      <c r="G9" s="12">
        <f>(F9-E9)*24</f>
        <v/>
      </c>
      <c r="H9" s="10" t="inlineStr">
        <is>
          <t>1C</t>
        </is>
      </c>
      <c r="I9" s="10" t="inlineStr">
        <is>
          <t>Yes</t>
        </is>
      </c>
    </row>
    <row r="10">
      <c r="A10" s="5" t="inlineStr">
        <is>
          <t>20E</t>
        </is>
      </c>
      <c r="B10" s="5" t="inlineStr">
        <is>
          <t>MITRA BHUM</t>
        </is>
      </c>
      <c r="C10" s="7" t="n">
        <v>485</v>
      </c>
      <c r="D10" s="8" t="n">
        <v>46295.125</v>
      </c>
      <c r="E10" s="8" t="n">
        <v>46295.20833333334</v>
      </c>
      <c r="F10" s="8" t="n">
        <v>46295.75</v>
      </c>
      <c r="G10" s="9">
        <f>(F10-E10)*24</f>
        <v/>
      </c>
      <c r="H10" s="7" t="inlineStr">
        <is>
          <t>–</t>
        </is>
      </c>
      <c r="I10" s="7" t="inlineStr"/>
    </row>
    <row r="11">
      <c r="A11" s="5" t="inlineStr">
        <is>
          <t>20F</t>
        </is>
      </c>
      <c r="B11" s="5" t="inlineStr">
        <is>
          <t>HOPE C</t>
        </is>
      </c>
      <c r="C11" s="7" t="n">
        <v>481</v>
      </c>
      <c r="D11" s="8" t="n">
        <v>46294.70833333334</v>
      </c>
      <c r="E11" s="8" t="n">
        <v>46294.70833333334</v>
      </c>
      <c r="F11" s="8" t="n">
        <v>46295.66666666666</v>
      </c>
      <c r="G11" s="9">
        <f>(F11-E11)*24</f>
        <v/>
      </c>
      <c r="H11" s="7" t="inlineStr">
        <is>
          <t>–</t>
        </is>
      </c>
      <c r="I11" s="7" t="inlineStr"/>
    </row>
    <row r="12">
      <c r="A12" s="5" t="inlineStr">
        <is>
          <t>20F</t>
        </is>
      </c>
      <c r="B12" s="5" t="inlineStr">
        <is>
          <t>WAN HAI 278</t>
        </is>
      </c>
      <c r="C12" s="7" t="n">
        <v>564</v>
      </c>
      <c r="D12" s="8" t="n">
        <v>46297.375</v>
      </c>
      <c r="E12" s="8" t="n">
        <v>46297.375</v>
      </c>
      <c r="F12" s="8" t="n">
        <v>46299.41666666666</v>
      </c>
      <c r="G12" s="9">
        <f>(F12-E12)*24</f>
        <v/>
      </c>
      <c r="H12" s="7" t="inlineStr">
        <is>
          <t>–</t>
        </is>
      </c>
      <c r="I12" s="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7" t="n">
        <v>558</v>
      </c>
      <c r="D4" s="8" t="n">
        <v>46295.875</v>
      </c>
      <c r="E4" s="8" t="n">
        <v>46296.25</v>
      </c>
      <c r="F4" s="8" t="n">
        <v>46297.25</v>
      </c>
      <c r="G4" s="9">
        <f>(F4-E4)*24</f>
        <v/>
      </c>
      <c r="H4" s="7" t="inlineStr">
        <is>
          <t>–</t>
        </is>
      </c>
      <c r="I4" s="7" t="inlineStr"/>
    </row>
    <row r="5">
      <c r="A5" s="5" t="inlineStr">
        <is>
          <t>20AB</t>
        </is>
      </c>
      <c r="B5" s="5" t="inlineStr">
        <is>
          <t>KMTC BANGKOK</t>
        </is>
      </c>
      <c r="C5" s="7" t="n">
        <v>565</v>
      </c>
      <c r="D5" s="8" t="n">
        <v>46297.25</v>
      </c>
      <c r="E5" s="8" t="n">
        <v>46297.33333333334</v>
      </c>
      <c r="F5" s="8" t="n">
        <v>46298.70833333334</v>
      </c>
      <c r="G5" s="9">
        <f>(F5-E5)*24</f>
        <v/>
      </c>
      <c r="H5" s="7" t="inlineStr">
        <is>
          <t>–</t>
        </is>
      </c>
      <c r="I5" s="7" t="inlineStr"/>
    </row>
    <row r="6">
      <c r="A6" s="6" t="inlineStr">
        <is>
          <t>20B</t>
        </is>
      </c>
      <c r="B6" s="6" t="inlineStr">
        <is>
          <t>KHARIS HERITAGE</t>
        </is>
      </c>
      <c r="C6" s="10" t="n">
        <v>482</v>
      </c>
      <c r="D6" s="11" t="n">
        <v>46296.5</v>
      </c>
      <c r="E6" s="11" t="n">
        <v>46296.70833333334</v>
      </c>
      <c r="F6" s="11" t="n">
        <v>46297.70833333334</v>
      </c>
      <c r="G6" s="12">
        <f>(F6-E6)*24</f>
        <v/>
      </c>
      <c r="H6" s="10" t="inlineStr">
        <is>
          <t>–</t>
        </is>
      </c>
      <c r="I6" s="10" t="inlineStr">
        <is>
          <t>Yes</t>
        </is>
      </c>
    </row>
    <row r="7">
      <c r="A7" s="5" t="inlineStr">
        <is>
          <t>20B</t>
        </is>
      </c>
      <c r="B7" s="5" t="inlineStr">
        <is>
          <t>ZHONG GU BEI HAI</t>
        </is>
      </c>
      <c r="C7" s="7" t="n">
        <v>561</v>
      </c>
      <c r="D7" s="8" t="n">
        <v>46298.91666666666</v>
      </c>
      <c r="E7" s="8" t="n">
        <v>46299.375</v>
      </c>
      <c r="F7" s="8" t="n">
        <v>46300.66666666666</v>
      </c>
      <c r="G7" s="9">
        <f>(F7-E7)*24</f>
        <v/>
      </c>
      <c r="H7" s="7" t="inlineStr">
        <is>
          <t>–</t>
        </is>
      </c>
      <c r="I7" s="7" t="inlineStr"/>
    </row>
    <row r="8">
      <c r="A8" s="5" t="inlineStr">
        <is>
          <t>20C</t>
        </is>
      </c>
      <c r="B8" s="5" t="inlineStr">
        <is>
          <t>YM IMPROVEMENT</t>
        </is>
      </c>
      <c r="C8" s="7" t="n">
        <v>564</v>
      </c>
      <c r="D8" s="8" t="n">
        <v>46298.83333333334</v>
      </c>
      <c r="E8" s="8" t="n">
        <v>46298.83333333334</v>
      </c>
      <c r="F8" s="8" t="n">
        <v>46300.41666666666</v>
      </c>
      <c r="G8" s="9">
        <f>(F8-E8)*24</f>
        <v/>
      </c>
      <c r="H8" s="7" t="inlineStr">
        <is>
          <t>–</t>
        </is>
      </c>
      <c r="I8" s="7" t="inlineStr"/>
    </row>
    <row r="9">
      <c r="A9" s="6" t="inlineStr">
        <is>
          <t>20D</t>
        </is>
      </c>
      <c r="B9" s="6" t="inlineStr">
        <is>
          <t>ALS SUMIRE</t>
        </is>
      </c>
      <c r="C9" s="10" t="n">
        <v>537</v>
      </c>
      <c r="D9" s="11" t="n">
        <v>46296.70833333334</v>
      </c>
      <c r="E9" s="11" t="n">
        <v>46296.70833333334</v>
      </c>
      <c r="F9" s="11" t="n">
        <v>46297.70833333334</v>
      </c>
      <c r="G9" s="12">
        <f>(F9-E9)*24</f>
        <v/>
      </c>
      <c r="H9" s="10" t="inlineStr">
        <is>
          <t>1C</t>
        </is>
      </c>
      <c r="I9" s="10" t="inlineStr">
        <is>
          <t>Yes</t>
        </is>
      </c>
    </row>
    <row r="10">
      <c r="A10" s="5" t="inlineStr">
        <is>
          <t>20E</t>
        </is>
      </c>
      <c r="B10" s="5" t="inlineStr">
        <is>
          <t>RESURGENCE</t>
        </is>
      </c>
      <c r="C10" s="7" t="n">
        <v>458</v>
      </c>
      <c r="D10" s="8" t="n">
        <v>46298.75</v>
      </c>
      <c r="E10" s="8" t="n">
        <v>46298.75</v>
      </c>
      <c r="F10" s="8" t="n">
        <v>46299.83333333334</v>
      </c>
      <c r="G10" s="9">
        <f>(F10-E10)*24</f>
        <v/>
      </c>
      <c r="H10" s="7" t="inlineStr">
        <is>
          <t>–</t>
        </is>
      </c>
      <c r="I10" s="7" t="inlineStr"/>
    </row>
    <row r="11">
      <c r="A11" s="5" t="inlineStr">
        <is>
          <t>20F</t>
        </is>
      </c>
      <c r="B11" s="5" t="inlineStr">
        <is>
          <t>WAN HAI 278</t>
        </is>
      </c>
      <c r="C11" s="7" t="n">
        <v>564</v>
      </c>
      <c r="D11" s="8" t="n">
        <v>46297.375</v>
      </c>
      <c r="E11" s="8" t="n">
        <v>46297.375</v>
      </c>
      <c r="F11" s="8" t="n">
        <v>46299.41666666666</v>
      </c>
      <c r="G11" s="9">
        <f>(F11-E11)*24</f>
        <v/>
      </c>
      <c r="H11" s="7" t="inlineStr">
        <is>
          <t>–</t>
        </is>
      </c>
      <c r="I11" s="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7" t="n">
        <v>558</v>
      </c>
      <c r="D4" s="8" t="n">
        <v>46295.875</v>
      </c>
      <c r="E4" s="8" t="n">
        <v>46296.25</v>
      </c>
      <c r="F4" s="8" t="n">
        <v>46297.625</v>
      </c>
      <c r="G4" s="9">
        <f>(F4-E4)*24</f>
        <v/>
      </c>
      <c r="H4" s="7" t="inlineStr">
        <is>
          <t>–</t>
        </is>
      </c>
      <c r="I4" s="7" t="inlineStr"/>
    </row>
    <row r="5">
      <c r="A5" s="5" t="inlineStr">
        <is>
          <t>20AB</t>
        </is>
      </c>
      <c r="B5" s="5" t="inlineStr">
        <is>
          <t>RESURGENCE</t>
        </is>
      </c>
      <c r="C5" s="7" t="n">
        <v>458</v>
      </c>
      <c r="D5" s="8" t="n">
        <v>46298.54166666666</v>
      </c>
      <c r="E5" s="8" t="n">
        <v>46298.54166666666</v>
      </c>
      <c r="F5" s="8" t="n">
        <v>46299.5</v>
      </c>
      <c r="G5" s="9">
        <f>(F5-E5)*24</f>
        <v/>
      </c>
      <c r="H5" s="7" t="inlineStr">
        <is>
          <t>–</t>
        </is>
      </c>
      <c r="I5" s="7" t="inlineStr"/>
    </row>
    <row r="6">
      <c r="A6" s="5" t="inlineStr">
        <is>
          <t>20AB</t>
        </is>
      </c>
      <c r="B6" s="5" t="inlineStr">
        <is>
          <t>ZHONG GU BEI HAI</t>
        </is>
      </c>
      <c r="C6" s="7" t="n">
        <v>561</v>
      </c>
      <c r="D6" s="8" t="n">
        <v>46299.375</v>
      </c>
      <c r="E6" s="8" t="n">
        <v>46299.45833333334</v>
      </c>
      <c r="F6" s="8" t="n">
        <v>46301.45833333334</v>
      </c>
      <c r="G6" s="9">
        <f>(F6-E6)*24</f>
        <v/>
      </c>
      <c r="H6" s="7" t="inlineStr">
        <is>
          <t>–</t>
        </is>
      </c>
      <c r="I6" s="7" t="inlineStr"/>
    </row>
    <row r="7">
      <c r="A7" s="6" t="inlineStr">
        <is>
          <t>20B</t>
        </is>
      </c>
      <c r="B7" s="6" t="inlineStr">
        <is>
          <t>KHARIS HERITAGE</t>
        </is>
      </c>
      <c r="C7" s="10" t="n">
        <v>482</v>
      </c>
      <c r="D7" s="11" t="n">
        <v>46296.45833333334</v>
      </c>
      <c r="E7" s="11" t="n">
        <v>46296.75</v>
      </c>
      <c r="F7" s="11" t="n">
        <v>46297.70833333334</v>
      </c>
      <c r="G7" s="12">
        <f>(F7-E7)*24</f>
        <v/>
      </c>
      <c r="H7" s="10" t="inlineStr">
        <is>
          <t>–</t>
        </is>
      </c>
      <c r="I7" s="10" t="inlineStr">
        <is>
          <t>Yes</t>
        </is>
      </c>
    </row>
    <row r="8">
      <c r="A8" s="5" t="inlineStr">
        <is>
          <t>20B</t>
        </is>
      </c>
      <c r="B8" s="5" t="inlineStr">
        <is>
          <t>YM IMPROVEMENT</t>
        </is>
      </c>
      <c r="C8" s="7" t="n">
        <v>564</v>
      </c>
      <c r="D8" s="8" t="n">
        <v>46298.83333333334</v>
      </c>
      <c r="E8" s="8" t="n">
        <v>46298.83333333334</v>
      </c>
      <c r="F8" s="8" t="n">
        <v>46300.41666666666</v>
      </c>
      <c r="G8" s="9">
        <f>(F8-E8)*24</f>
        <v/>
      </c>
      <c r="H8" s="7" t="inlineStr">
        <is>
          <t>–</t>
        </is>
      </c>
      <c r="I8" s="7" t="inlineStr"/>
    </row>
    <row r="9">
      <c r="A9" s="5" t="inlineStr">
        <is>
          <t>20B</t>
        </is>
      </c>
      <c r="B9" s="5" t="inlineStr">
        <is>
          <t>JOSCO LUCKY</t>
        </is>
      </c>
      <c r="C9" s="7" t="n">
        <v>564</v>
      </c>
      <c r="D9" s="8" t="n">
        <v>46300.91666666666</v>
      </c>
      <c r="E9" s="8" t="n">
        <v>46301.5</v>
      </c>
      <c r="F9" s="8" t="n">
        <v>46302.54166666666</v>
      </c>
      <c r="G9" s="9">
        <f>(F9-E9)*24</f>
        <v/>
      </c>
      <c r="H9" s="7" t="inlineStr">
        <is>
          <t>–</t>
        </is>
      </c>
      <c r="I9" s="7" t="inlineStr"/>
    </row>
    <row r="10">
      <c r="A10" s="5" t="inlineStr">
        <is>
          <t>20C</t>
        </is>
      </c>
      <c r="B10" s="5" t="inlineStr">
        <is>
          <t>SAWASDEE DENEB</t>
        </is>
      </c>
      <c r="C10" s="7" t="n">
        <v>564</v>
      </c>
      <c r="D10" s="8" t="n">
        <v>46300</v>
      </c>
      <c r="E10" s="8" t="n">
        <v>46300.5</v>
      </c>
      <c r="F10" s="8" t="n">
        <v>46302.5</v>
      </c>
      <c r="G10" s="9">
        <f>(F10-E10)*24</f>
        <v/>
      </c>
      <c r="H10" s="7" t="inlineStr">
        <is>
          <t>–</t>
        </is>
      </c>
      <c r="I10" s="7" t="inlineStr"/>
    </row>
    <row r="11">
      <c r="A11" s="6" t="inlineStr">
        <is>
          <t>20D</t>
        </is>
      </c>
      <c r="B11" s="6" t="inlineStr">
        <is>
          <t>ALS SUMIRE</t>
        </is>
      </c>
      <c r="C11" s="10" t="n">
        <v>537</v>
      </c>
      <c r="D11" s="11" t="n">
        <v>46296.25</v>
      </c>
      <c r="E11" s="11" t="n">
        <v>46296.66666666666</v>
      </c>
      <c r="F11" s="11" t="n">
        <v>46297.70833333334</v>
      </c>
      <c r="G11" s="12">
        <f>(F11-E11)*24</f>
        <v/>
      </c>
      <c r="H11" s="10" t="inlineStr">
        <is>
          <t>1C</t>
        </is>
      </c>
      <c r="I11" s="10" t="inlineStr">
        <is>
          <t>Yes</t>
        </is>
      </c>
    </row>
    <row r="12">
      <c r="A12" s="5" t="inlineStr">
        <is>
          <t>20D</t>
        </is>
      </c>
      <c r="B12" s="5" t="inlineStr">
        <is>
          <t>HARI BHUM (Barge)</t>
        </is>
      </c>
      <c r="C12" s="7" t="n">
        <v>259</v>
      </c>
      <c r="D12" s="8" t="n">
        <v>46298.20833333334</v>
      </c>
      <c r="E12" s="8" t="n">
        <v>46298.20833333334</v>
      </c>
      <c r="F12" s="8" t="n">
        <v>46298.66666666666</v>
      </c>
      <c r="G12" s="9">
        <f>(F12-E12)*24</f>
        <v/>
      </c>
      <c r="H12" s="7" t="inlineStr">
        <is>
          <t>–</t>
        </is>
      </c>
      <c r="I12" s="7" t="inlineStr"/>
    </row>
    <row r="13">
      <c r="A13" s="5" t="inlineStr">
        <is>
          <t>20E</t>
        </is>
      </c>
      <c r="B13" s="5" t="inlineStr">
        <is>
          <t>WAN HAI 278</t>
        </is>
      </c>
      <c r="C13" s="7" t="n">
        <v>564</v>
      </c>
      <c r="D13" s="8" t="n">
        <v>46297.75</v>
      </c>
      <c r="E13" s="8" t="n">
        <v>46298.41666666666</v>
      </c>
      <c r="F13" s="8" t="n">
        <v>46300.45833333334</v>
      </c>
      <c r="G13" s="9">
        <f>(F13-E13)*24</f>
        <v/>
      </c>
      <c r="H13" s="7" t="inlineStr">
        <is>
          <t>–</t>
        </is>
      </c>
      <c r="I13" s="7" t="inlineStr"/>
    </row>
    <row r="14">
      <c r="A14" s="5" t="inlineStr">
        <is>
          <t>20F</t>
        </is>
      </c>
      <c r="B14" s="5" t="inlineStr">
        <is>
          <t>KMTC BANGKOK</t>
        </is>
      </c>
      <c r="C14" s="7" t="n">
        <v>565</v>
      </c>
      <c r="D14" s="8" t="n">
        <v>46297.29166666666</v>
      </c>
      <c r="E14" s="8" t="n">
        <v>46297.33333333334</v>
      </c>
      <c r="F14" s="8" t="n">
        <v>46298.70833333334</v>
      </c>
      <c r="G14" s="9">
        <f>(F14-E14)*24</f>
        <v/>
      </c>
      <c r="H14" s="7" t="inlineStr">
        <is>
          <t>–</t>
        </is>
      </c>
      <c r="I14" s="7" t="inlineStr"/>
    </row>
    <row r="15">
      <c r="A15" s="5" t="inlineStr">
        <is>
          <t>20F</t>
        </is>
      </c>
      <c r="B15" s="5" t="inlineStr">
        <is>
          <t>XIN MING ZHOU 98</t>
        </is>
      </c>
      <c r="C15" s="7" t="n">
        <v>564</v>
      </c>
      <c r="D15" s="8" t="n">
        <v>46299.375</v>
      </c>
      <c r="E15" s="8" t="n">
        <v>46299.375</v>
      </c>
      <c r="F15" s="8" t="n">
        <v>46300.375</v>
      </c>
      <c r="G15" s="9">
        <f>(F15-E15)*24</f>
        <v/>
      </c>
      <c r="H15" s="7" t="inlineStr">
        <is>
          <t>–</t>
        </is>
      </c>
      <c r="I15" s="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7" t="n">
        <v>458</v>
      </c>
      <c r="D4" s="8" t="n">
        <v>46298.5</v>
      </c>
      <c r="E4" s="8" t="n">
        <v>46298.5</v>
      </c>
      <c r="F4" s="8" t="n">
        <v>46299.70833333334</v>
      </c>
      <c r="G4" s="9">
        <f>(F4-E4)*24</f>
        <v/>
      </c>
      <c r="H4" s="7" t="inlineStr">
        <is>
          <t>–</t>
        </is>
      </c>
      <c r="I4" s="7" t="inlineStr"/>
    </row>
    <row r="5">
      <c r="A5" s="6" t="inlineStr">
        <is>
          <t>20AB</t>
        </is>
      </c>
      <c r="B5" s="6" t="inlineStr">
        <is>
          <t>ZHONG GU BEI HAI</t>
        </is>
      </c>
      <c r="C5" s="10" t="n">
        <v>561</v>
      </c>
      <c r="D5" s="11" t="n">
        <v>46299.375</v>
      </c>
      <c r="E5" s="11" t="n">
        <v>46299.625</v>
      </c>
      <c r="F5" s="11" t="n">
        <v>46301.41666666666</v>
      </c>
      <c r="G5" s="12">
        <f>(F5-E5)*24</f>
        <v/>
      </c>
      <c r="H5" s="10" t="inlineStr">
        <is>
          <t>–</t>
        </is>
      </c>
      <c r="I5" s="10" t="inlineStr">
        <is>
          <t>Yes</t>
        </is>
      </c>
    </row>
    <row r="6">
      <c r="A6" s="5" t="inlineStr">
        <is>
          <t>20B</t>
        </is>
      </c>
      <c r="B6" s="5" t="inlineStr">
        <is>
          <t>YM IMPROVEMENT</t>
        </is>
      </c>
      <c r="C6" s="7" t="n">
        <v>564</v>
      </c>
      <c r="D6" s="8" t="n">
        <v>46298.95833333334</v>
      </c>
      <c r="E6" s="8" t="n">
        <v>46299.41666666666</v>
      </c>
      <c r="F6" s="8" t="n">
        <v>46300.5</v>
      </c>
      <c r="G6" s="9">
        <f>(F6-E6)*24</f>
        <v/>
      </c>
      <c r="H6" s="7" t="inlineStr">
        <is>
          <t>–</t>
        </is>
      </c>
      <c r="I6" s="7" t="inlineStr"/>
    </row>
    <row r="7">
      <c r="A7" s="5" t="inlineStr">
        <is>
          <t>20B</t>
        </is>
      </c>
      <c r="B7" s="5" t="inlineStr">
        <is>
          <t>JOSCO LUCKY</t>
        </is>
      </c>
      <c r="C7" s="7" t="n">
        <v>564</v>
      </c>
      <c r="D7" s="8" t="n">
        <v>46300.91666666666</v>
      </c>
      <c r="E7" s="8" t="n">
        <v>46301.5</v>
      </c>
      <c r="F7" s="8" t="n">
        <v>46302.54166666666</v>
      </c>
      <c r="G7" s="9">
        <f>(F7-E7)*24</f>
        <v/>
      </c>
      <c r="H7" s="7" t="inlineStr">
        <is>
          <t>–</t>
        </is>
      </c>
      <c r="I7" s="7" t="inlineStr"/>
    </row>
    <row r="8">
      <c r="A8" s="5" t="inlineStr">
        <is>
          <t>20C</t>
        </is>
      </c>
      <c r="B8" s="5" t="inlineStr">
        <is>
          <t>SAWASDEE DENEB</t>
        </is>
      </c>
      <c r="C8" s="7" t="n">
        <v>564</v>
      </c>
      <c r="D8" s="8" t="n">
        <v>46300</v>
      </c>
      <c r="E8" s="8" t="n">
        <v>46300.5</v>
      </c>
      <c r="F8" s="8" t="n">
        <v>46302.5</v>
      </c>
      <c r="G8" s="9">
        <f>(F8-E8)*24</f>
        <v/>
      </c>
      <c r="H8" s="7" t="inlineStr">
        <is>
          <t>–</t>
        </is>
      </c>
      <c r="I8" s="7" t="inlineStr"/>
    </row>
    <row r="9">
      <c r="A9" s="5" t="inlineStr">
        <is>
          <t>20D</t>
        </is>
      </c>
      <c r="B9" s="5" t="inlineStr">
        <is>
          <t>HARI BHUM (Barge)</t>
        </is>
      </c>
      <c r="C9" s="7" t="n">
        <v>259</v>
      </c>
      <c r="D9" s="8" t="n">
        <v>46298.20833333334</v>
      </c>
      <c r="E9" s="8" t="n">
        <v>46298.29166666666</v>
      </c>
      <c r="F9" s="8" t="n">
        <v>46298.66666666666</v>
      </c>
      <c r="G9" s="9">
        <f>(F9-E9)*24</f>
        <v/>
      </c>
      <c r="H9" s="7" t="inlineStr">
        <is>
          <t>–</t>
        </is>
      </c>
      <c r="I9" s="7" t="inlineStr"/>
    </row>
    <row r="10">
      <c r="A10" s="5" t="inlineStr">
        <is>
          <t>20E</t>
        </is>
      </c>
      <c r="B10" s="5" t="inlineStr">
        <is>
          <t>WAN HAI 278</t>
        </is>
      </c>
      <c r="C10" s="7" t="n">
        <v>564</v>
      </c>
      <c r="D10" s="8" t="n">
        <v>46297.91666666666</v>
      </c>
      <c r="E10" s="8" t="n">
        <v>46298.41666666666</v>
      </c>
      <c r="F10" s="8" t="n">
        <v>46300.45833333334</v>
      </c>
      <c r="G10" s="9">
        <f>(F10-E10)*24</f>
        <v/>
      </c>
      <c r="H10" s="7" t="inlineStr">
        <is>
          <t>–</t>
        </is>
      </c>
      <c r="I10" s="7" t="inlineStr"/>
    </row>
    <row r="11">
      <c r="A11" s="5" t="inlineStr">
        <is>
          <t>20F</t>
        </is>
      </c>
      <c r="B11" s="5" t="inlineStr">
        <is>
          <t>KMTC BANGKOK</t>
        </is>
      </c>
      <c r="C11" s="7" t="n">
        <v>564</v>
      </c>
      <c r="D11" s="8" t="n">
        <v>46297.29166666666</v>
      </c>
      <c r="E11" s="8" t="n">
        <v>46297.45833333334</v>
      </c>
      <c r="F11" s="8" t="n">
        <v>46298.70833333334</v>
      </c>
      <c r="G11" s="9">
        <f>(F11-E11)*24</f>
        <v/>
      </c>
      <c r="H11" s="7" t="inlineStr">
        <is>
          <t>–</t>
        </is>
      </c>
      <c r="I11" s="7" t="inlineStr"/>
    </row>
    <row r="12">
      <c r="A12" s="5" t="inlineStr">
        <is>
          <t>20F</t>
        </is>
      </c>
      <c r="B12" s="5" t="inlineStr">
        <is>
          <t>XIN MING ZHOU 98</t>
        </is>
      </c>
      <c r="C12" s="7" t="n">
        <v>564</v>
      </c>
      <c r="D12" s="8" t="n">
        <v>46299.375</v>
      </c>
      <c r="E12" s="8" t="n">
        <v>46299.375</v>
      </c>
      <c r="F12" s="8" t="n">
        <v>46300.375</v>
      </c>
      <c r="G12" s="9">
        <f>(F12-E12)*24</f>
        <v/>
      </c>
      <c r="H12" s="7" t="inlineStr">
        <is>
          <t>–</t>
        </is>
      </c>
      <c r="I12" s="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7" t="n">
        <v>458</v>
      </c>
      <c r="D4" s="8" t="n">
        <v>46298.5</v>
      </c>
      <c r="E4" s="8" t="n">
        <v>46298.5</v>
      </c>
      <c r="F4" s="8" t="n">
        <v>46299.70833333334</v>
      </c>
      <c r="G4" s="9">
        <f>(F4-E4)*24</f>
        <v/>
      </c>
      <c r="H4" s="7" t="inlineStr">
        <is>
          <t>–</t>
        </is>
      </c>
      <c r="I4" s="7" t="inlineStr"/>
    </row>
    <row r="5">
      <c r="A5" s="5" t="inlineStr">
        <is>
          <t>20AB</t>
        </is>
      </c>
      <c r="B5" s="5" t="inlineStr">
        <is>
          <t>ZHONG GU BEI HAI</t>
        </is>
      </c>
      <c r="C5" s="7" t="n">
        <v>561</v>
      </c>
      <c r="D5" s="8" t="n">
        <v>46299.375</v>
      </c>
      <c r="E5" s="8" t="n">
        <v>46299.625</v>
      </c>
      <c r="F5" s="8" t="n">
        <v>46301.41666666666</v>
      </c>
      <c r="G5" s="9">
        <f>(F5-E5)*24</f>
        <v/>
      </c>
      <c r="H5" s="7" t="inlineStr">
        <is>
          <t>–</t>
        </is>
      </c>
      <c r="I5" s="7" t="inlineStr"/>
    </row>
    <row r="6">
      <c r="A6" s="5" t="inlineStr">
        <is>
          <t>20AB</t>
        </is>
      </c>
      <c r="B6" s="5" t="inlineStr">
        <is>
          <t>JOSCO LUCKY</t>
        </is>
      </c>
      <c r="C6" s="7" t="n">
        <v>564</v>
      </c>
      <c r="D6" s="8" t="n">
        <v>46300.91666666666</v>
      </c>
      <c r="E6" s="8" t="n">
        <v>46301.5</v>
      </c>
      <c r="F6" s="8" t="n">
        <v>46302.54166666666</v>
      </c>
      <c r="G6" s="9">
        <f>(F6-E6)*24</f>
        <v/>
      </c>
      <c r="H6" s="7" t="inlineStr">
        <is>
          <t>–</t>
        </is>
      </c>
      <c r="I6" s="7" t="inlineStr"/>
    </row>
    <row r="7">
      <c r="A7" s="5" t="inlineStr">
        <is>
          <t>20B</t>
        </is>
      </c>
      <c r="B7" s="5" t="inlineStr">
        <is>
          <t>YM IMPROVEMENT</t>
        </is>
      </c>
      <c r="C7" s="7" t="n">
        <v>564</v>
      </c>
      <c r="D7" s="8" t="n">
        <v>46298.95833333334</v>
      </c>
      <c r="E7" s="8" t="n">
        <v>46299.41666666666</v>
      </c>
      <c r="F7" s="8" t="n">
        <v>46300.5</v>
      </c>
      <c r="G7" s="9">
        <f>(F7-E7)*24</f>
        <v/>
      </c>
      <c r="H7" s="7" t="inlineStr">
        <is>
          <t>–</t>
        </is>
      </c>
      <c r="I7" s="7" t="inlineStr"/>
    </row>
    <row r="8">
      <c r="A8" s="5" t="inlineStr">
        <is>
          <t>20B</t>
        </is>
      </c>
      <c r="B8" s="5" t="inlineStr">
        <is>
          <t>SAWASDEE SPICA</t>
        </is>
      </c>
      <c r="C8" s="7" t="n">
        <v>564</v>
      </c>
      <c r="D8" s="8" t="n">
        <v>46300.875</v>
      </c>
      <c r="E8" s="8" t="n">
        <v>46301.54166666666</v>
      </c>
      <c r="F8" s="8" t="n">
        <v>46303.54166666666</v>
      </c>
      <c r="G8" s="9">
        <f>(F8-E8)*24</f>
        <v/>
      </c>
      <c r="H8" s="7" t="inlineStr">
        <is>
          <t>–</t>
        </is>
      </c>
      <c r="I8" s="7" t="inlineStr"/>
    </row>
    <row r="9">
      <c r="A9" s="5" t="inlineStr">
        <is>
          <t>20C</t>
        </is>
      </c>
      <c r="B9" s="5" t="inlineStr">
        <is>
          <t>SAWASDEE DENEB</t>
        </is>
      </c>
      <c r="C9" s="7" t="n">
        <v>564</v>
      </c>
      <c r="D9" s="8" t="n">
        <v>46300</v>
      </c>
      <c r="E9" s="8" t="n">
        <v>46300.5</v>
      </c>
      <c r="F9" s="8" t="n">
        <v>46302.5</v>
      </c>
      <c r="G9" s="9">
        <f>(F9-E9)*24</f>
        <v/>
      </c>
      <c r="H9" s="7" t="inlineStr">
        <is>
          <t>–</t>
        </is>
      </c>
      <c r="I9" s="7" t="inlineStr"/>
    </row>
    <row r="10">
      <c r="A10" s="5" t="inlineStr">
        <is>
          <t>20E</t>
        </is>
      </c>
      <c r="B10" s="5" t="inlineStr">
        <is>
          <t>WAN HAI 278</t>
        </is>
      </c>
      <c r="C10" s="7" t="n">
        <v>564</v>
      </c>
      <c r="D10" s="8" t="n">
        <v>46297.75</v>
      </c>
      <c r="E10" s="8" t="n">
        <v>46298.41666666666</v>
      </c>
      <c r="F10" s="8" t="n">
        <v>46300.45833333334</v>
      </c>
      <c r="G10" s="9">
        <f>(F10-E10)*24</f>
        <v/>
      </c>
      <c r="H10" s="7" t="inlineStr">
        <is>
          <t>–</t>
        </is>
      </c>
      <c r="I10" s="7" t="inlineStr"/>
    </row>
    <row r="11">
      <c r="A11" s="5" t="inlineStr">
        <is>
          <t>20F</t>
        </is>
      </c>
      <c r="B11" s="5" t="inlineStr">
        <is>
          <t>XIN MING ZHOU 98</t>
        </is>
      </c>
      <c r="C11" s="7" t="n">
        <v>564</v>
      </c>
      <c r="D11" s="8" t="n">
        <v>46299.375</v>
      </c>
      <c r="E11" s="8" t="n">
        <v>46299.375</v>
      </c>
      <c r="F11" s="8" t="n">
        <v>46300.375</v>
      </c>
      <c r="G11" s="9">
        <f>(F11-E11)*24</f>
        <v/>
      </c>
      <c r="H11" s="7" t="inlineStr">
        <is>
          <t>–</t>
        </is>
      </c>
      <c r="I11" s="7" t="inlineStr"/>
    </row>
    <row r="12">
      <c r="A12" s="5" t="inlineStr">
        <is>
          <t>20F</t>
        </is>
      </c>
      <c r="B12" s="5" t="inlineStr">
        <is>
          <t>KMTC TOKYO</t>
        </is>
      </c>
      <c r="C12" s="7" t="n">
        <v>565</v>
      </c>
      <c r="D12" s="8" t="n">
        <v>46301.58333333334</v>
      </c>
      <c r="E12" s="8" t="n">
        <v>46301.58333333334</v>
      </c>
      <c r="F12" s="8" t="n">
        <v>46303.5</v>
      </c>
      <c r="G12" s="9">
        <f>(F12-E12)*24</f>
        <v/>
      </c>
      <c r="H12" s="7" t="inlineStr">
        <is>
          <t>–</t>
        </is>
      </c>
      <c r="I12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2026-10-04T04:02:45Z</dcterms:created>
  <dcterms:modified xmlns:dcterms="http://purl.org/dc/terms/" xmlns:xsi="http://www.w3.org/2001/XMLSchema-instance" xsi:type="dcterms:W3CDTF">2026-10-04T04:02:45Z</dcterms:modified>
</cp:coreProperties>
</file>