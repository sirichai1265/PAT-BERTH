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14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KMTC TAIPEIS</t>
        </is>
      </c>
      <c r="C4" s="23" t="n">
        <v>565</v>
      </c>
      <c r="D4" s="40" t="n">
        <v>46308.08333333334</v>
      </c>
      <c r="E4" s="40" t="n">
        <v>46309.20833333334</v>
      </c>
      <c r="F4" s="40" t="n">
        <v>46310.33333333334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WAN HAI 176</t>
        </is>
      </c>
      <c r="C5" s="23" t="n">
        <v>564</v>
      </c>
      <c r="D5" s="40" t="n">
        <v>46310.45833333334</v>
      </c>
      <c r="E5" s="40" t="n">
        <v>46310.45833333334</v>
      </c>
      <c r="F5" s="40" t="n">
        <v>46311.66666666666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CEBU</t>
        </is>
      </c>
      <c r="C6" s="23" t="n">
        <v>564</v>
      </c>
      <c r="D6" s="40" t="n">
        <v>46307.91666666666</v>
      </c>
      <c r="E6" s="40" t="n">
        <v>46308.25</v>
      </c>
      <c r="F6" s="40" t="n">
        <v>46309.54166666666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M ODYSSEY</t>
        </is>
      </c>
      <c r="C7" s="23" t="n">
        <v>449</v>
      </c>
      <c r="D7" s="40" t="n">
        <v>46309.04166666666</v>
      </c>
      <c r="E7" s="40" t="n">
        <v>46309.625</v>
      </c>
      <c r="F7" s="40" t="n">
        <v>46310.20833333334</v>
      </c>
      <c r="G7" s="24">
        <f>(E7-D7)*24</f>
        <v/>
      </c>
      <c r="H7" s="24">
        <f>(F7-E7)*24</f>
        <v/>
      </c>
      <c r="I7" s="23" t="inlineStr">
        <is>
          <t>4A</t>
        </is>
      </c>
      <c r="J7" s="23" t="inlineStr"/>
    </row>
    <row r="8">
      <c r="A8" s="5" t="inlineStr">
        <is>
          <t>20B</t>
        </is>
      </c>
      <c r="B8" s="5" t="inlineStr">
        <is>
          <t>KHARIS HERITAGE</t>
        </is>
      </c>
      <c r="C8" s="23" t="n">
        <v>482</v>
      </c>
      <c r="D8" s="40" t="n">
        <v>46310.04166666666</v>
      </c>
      <c r="E8" s="40" t="n">
        <v>46310.29166666666</v>
      </c>
      <c r="F8" s="40" t="n">
        <v>46311.29166666666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WAN HAI 277</t>
        </is>
      </c>
      <c r="C9" s="23" t="n">
        <v>564</v>
      </c>
      <c r="D9" s="40" t="n">
        <v>46307.875</v>
      </c>
      <c r="E9" s="40" t="n">
        <v>46308.25</v>
      </c>
      <c r="F9" s="40" t="n">
        <v>46309.66666666666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WAN HAI 173</t>
        </is>
      </c>
      <c r="C10" s="23" t="n">
        <v>565</v>
      </c>
      <c r="D10" s="40" t="n">
        <v>46309.04166666666</v>
      </c>
      <c r="E10" s="40" t="n">
        <v>46309.66666666666</v>
      </c>
      <c r="F10" s="40" t="n">
        <v>46310.29166666666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WAN HAI 175</t>
        </is>
      </c>
      <c r="C11" s="23" t="n">
        <v>565</v>
      </c>
      <c r="D11" s="40" t="n">
        <v>46309.95833333334</v>
      </c>
      <c r="E11" s="40" t="n">
        <v>46310.29166666666</v>
      </c>
      <c r="F11" s="40" t="n">
        <v>46311.625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KHUNA BHUM</t>
        </is>
      </c>
      <c r="C12" s="23" t="n">
        <v>564</v>
      </c>
      <c r="D12" s="40" t="n">
        <v>46308.45833333334</v>
      </c>
      <c r="E12" s="40" t="n">
        <v>46309.20833333334</v>
      </c>
      <c r="F12" s="40" t="n">
        <v>46309.91666666666</v>
      </c>
      <c r="G12" s="24">
        <f>(E12-D12)*24</f>
        <v/>
      </c>
      <c r="H12" s="24">
        <f>(F12-E12)*24</f>
        <v/>
      </c>
      <c r="I12" s="23" t="inlineStr">
        <is>
          <t>7B</t>
        </is>
      </c>
      <c r="J12" s="23" t="inlineStr"/>
    </row>
    <row r="13">
      <c r="A13" s="5" t="inlineStr">
        <is>
          <t>20D</t>
        </is>
      </c>
      <c r="B13" s="5" t="inlineStr">
        <is>
          <t>SITC DALIAN</t>
        </is>
      </c>
      <c r="C13" s="23" t="n">
        <v>470</v>
      </c>
      <c r="D13" s="40" t="n">
        <v>46309.33333333334</v>
      </c>
      <c r="E13" s="40" t="n">
        <v>46310.20833333334</v>
      </c>
      <c r="F13" s="40" t="n">
        <v>46311.25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20D</t>
        </is>
      </c>
      <c r="B14" s="5" t="inlineStr">
        <is>
          <t>WAN HAI 172</t>
        </is>
      </c>
      <c r="C14" s="23" t="n">
        <v>565</v>
      </c>
      <c r="D14" s="40" t="n">
        <v>46311.04166666666</v>
      </c>
      <c r="E14" s="40" t="n">
        <v>46311.29166666666</v>
      </c>
      <c r="F14" s="40" t="n">
        <v>46312.625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20F</t>
        </is>
      </c>
      <c r="B15" s="5" t="inlineStr">
        <is>
          <t>SAWASDEE INCHEON</t>
        </is>
      </c>
      <c r="C15" s="23" t="n">
        <v>564</v>
      </c>
      <c r="D15" s="40" t="n">
        <v>46308.625</v>
      </c>
      <c r="E15" s="40" t="n">
        <v>46309.25</v>
      </c>
      <c r="F15" s="40" t="n">
        <v>46311.25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8">
      <c r="A18" s="34" t="inlineStr">
        <is>
          <t>Berth &amp; gate notices on this sheet</t>
        </is>
      </c>
    </row>
    <row r="19">
      <c r="A19" s="3" t="inlineStr">
        <is>
          <t>Berth / Gate</t>
        </is>
      </c>
      <c r="B19" s="3" t="inlineStr">
        <is>
          <t>Type</t>
        </is>
      </c>
      <c r="C19" s="3" t="n"/>
      <c r="D19" s="3" t="inlineStr">
        <is>
          <t>From</t>
        </is>
      </c>
      <c r="E19" s="3" t="inlineStr">
        <is>
          <t>To</t>
        </is>
      </c>
      <c r="F19" s="3" t="inlineStr">
        <is>
          <t>Notice / change vs previous sheet</t>
        </is>
      </c>
      <c r="G19" s="35" t="n"/>
      <c r="H19" s="35" t="n"/>
      <c r="I19" s="35" t="n"/>
      <c r="J19" s="36" t="n"/>
    </row>
    <row r="20" ht="42" customHeight="1">
      <c r="A20" s="16" t="inlineStr">
        <is>
          <t>20D</t>
        </is>
      </c>
      <c r="B20" s="16" t="inlineStr">
        <is>
          <t>Berth closed</t>
        </is>
      </c>
      <c r="C20" s="38" t="n"/>
      <c r="D20" s="41" t="n">
        <v>46299</v>
      </c>
      <c r="E20" s="41" t="n">
        <v>46319</v>
      </c>
      <c r="F20" s="16" t="inlineStr">
        <is>
          <t>Close on 4–24 Oct 2026 to renovate electric channel (KHUNA BHUM is alongside at 20D; other vessels are booked from 15/05)  —  Unchanged – conflicts with vessel bookings, please confirm</t>
        </is>
      </c>
      <c r="G20" s="35" t="n"/>
      <c r="H20" s="35" t="n"/>
      <c r="I20" s="35" t="n"/>
      <c r="J20" s="36" t="n"/>
    </row>
    <row r="21" ht="42" customHeight="1">
      <c r="A21" s="16" t="inlineStr">
        <is>
          <t>20E / G.25</t>
        </is>
      </c>
      <c r="B21" s="16" t="inlineStr">
        <is>
          <t>Gate stopped</t>
        </is>
      </c>
      <c r="C21" s="38" t="n"/>
      <c r="D21" s="41" t="n">
        <v>46300</v>
      </c>
      <c r="E21" s="41" t="n">
        <v>46313</v>
      </c>
      <c r="F21" s="16" t="inlineStr">
        <is>
          <t>G.25 stops working 5–18 Oct 2026 to change trolley rail (in progress)  —  Unchanged</t>
        </is>
      </c>
      <c r="G21" s="35" t="n"/>
      <c r="H21" s="35" t="n"/>
      <c r="I21" s="35" t="n"/>
      <c r="J21" s="36" t="n"/>
    </row>
  </sheetData>
  <mergeCells count="3">
    <mergeCell ref="F19:J19"/>
    <mergeCell ref="F20:J20"/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2026-10-23T04:35:30Z</dcterms:created>
  <dcterms:modified xmlns:dcterms="http://purl.org/dc/terms/" xmlns:xsi="http://www.w3.org/2001/XMLSchema-instance" xsi:type="dcterms:W3CDTF">2026-10-23T04:35:36Z</dcterms:modified>
</cp:coreProperties>
</file>