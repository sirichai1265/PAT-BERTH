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09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GREEN PARK</t>
        </is>
      </c>
      <c r="C4" s="23" t="n">
        <v>482</v>
      </c>
      <c r="D4" s="39" t="n">
        <v>46302.41666666666</v>
      </c>
      <c r="E4" s="39" t="n">
        <v>46303.58333333334</v>
      </c>
      <c r="F4" s="39" t="n">
        <v>46304.66666666666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KANWAY FORTUNE</t>
        </is>
      </c>
      <c r="C5" s="23" t="n">
        <v>564</v>
      </c>
      <c r="D5" s="39" t="n">
        <v>46303.66666666666</v>
      </c>
      <c r="E5" s="39" t="n">
        <v>46304.58333333334</v>
      </c>
      <c r="F5" s="39" t="n">
        <v>46305.625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CNC MARS</t>
        </is>
      </c>
      <c r="C6" s="23" t="n">
        <v>564</v>
      </c>
      <c r="D6" s="39" t="n">
        <v>46304.91666666666</v>
      </c>
      <c r="E6" s="39" t="n">
        <v>46305.625</v>
      </c>
      <c r="F6" s="39" t="n">
        <v>46306.625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20AB</t>
        </is>
      </c>
      <c r="B7" s="5" t="inlineStr">
        <is>
          <t>SAMAL</t>
        </is>
      </c>
      <c r="C7" s="23" t="n">
        <v>564</v>
      </c>
      <c r="D7" s="39" t="n">
        <v>46307.16666666666</v>
      </c>
      <c r="E7" s="39" t="n">
        <v>46307.20833333334</v>
      </c>
      <c r="F7" s="39" t="n">
        <v>46308.58333333334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SITC HOCHIMINH</t>
        </is>
      </c>
      <c r="C8" s="23" t="n">
        <v>470</v>
      </c>
      <c r="D8" s="39" t="n">
        <v>46302.625</v>
      </c>
      <c r="E8" s="39" t="n">
        <v>46303.58333333334</v>
      </c>
      <c r="F8" s="39" t="n">
        <v>46304.70833333334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20B</t>
        </is>
      </c>
      <c r="B9" s="5" t="inlineStr">
        <is>
          <t>INDURO</t>
        </is>
      </c>
      <c r="C9" s="23" t="n">
        <v>565</v>
      </c>
      <c r="D9" s="39" t="n">
        <v>46304.25</v>
      </c>
      <c r="E9" s="39" t="n">
        <v>46304.66666666666</v>
      </c>
      <c r="F9" s="39" t="n">
        <v>46306.58333333334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20B</t>
        </is>
      </c>
      <c r="B10" s="5" t="inlineStr">
        <is>
          <t>JOSCO SHINE</t>
        </is>
      </c>
      <c r="C10" s="23" t="n">
        <v>564</v>
      </c>
      <c r="D10" s="39" t="n">
        <v>46306.70833333334</v>
      </c>
      <c r="E10" s="39" t="n">
        <v>46306.70833333334</v>
      </c>
      <c r="F10" s="39" t="n">
        <v>46307.58333333334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20C</t>
        </is>
      </c>
      <c r="B11" s="5" t="inlineStr">
        <is>
          <t>ZHONG GU DONG HAI</t>
        </is>
      </c>
      <c r="C11" s="23" t="n">
        <v>564</v>
      </c>
      <c r="D11" s="39" t="n">
        <v>46302.58333333334</v>
      </c>
      <c r="E11" s="39" t="n">
        <v>46303.58333333334</v>
      </c>
      <c r="F11" s="39" t="n">
        <v>46304.58333333334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20C</t>
        </is>
      </c>
      <c r="B12" s="5" t="inlineStr">
        <is>
          <t>YM INCEPTION</t>
        </is>
      </c>
      <c r="C12" s="23" t="n">
        <v>564</v>
      </c>
      <c r="D12" s="39" t="n">
        <v>46303.54166666666</v>
      </c>
      <c r="E12" s="39" t="n">
        <v>46304.54166666666</v>
      </c>
      <c r="F12" s="39" t="n">
        <v>46305.66666666666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20C</t>
        </is>
      </c>
      <c r="B13" s="5" t="inlineStr">
        <is>
          <t>STARSHIP AQUILA</t>
        </is>
      </c>
      <c r="C13" s="23" t="n">
        <v>565</v>
      </c>
      <c r="D13" s="39" t="n">
        <v>46304.91666666666</v>
      </c>
      <c r="E13" s="39" t="n">
        <v>46305.66666666666</v>
      </c>
      <c r="F13" s="39" t="n">
        <v>46307.20833333334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20C</t>
        </is>
      </c>
      <c r="B14" s="5" t="inlineStr">
        <is>
          <t>ALS SUMIRE</t>
        </is>
      </c>
      <c r="C14" s="23" t="n">
        <v>537</v>
      </c>
      <c r="D14" s="39" t="n">
        <v>46307.75</v>
      </c>
      <c r="E14" s="39" t="n">
        <v>46307.75</v>
      </c>
      <c r="F14" s="39" t="n">
        <v>46309.20833333334</v>
      </c>
      <c r="G14" s="24">
        <f>(E14-D14)*24</f>
        <v/>
      </c>
      <c r="H14" s="24">
        <f>(F14-E14)*24</f>
        <v/>
      </c>
      <c r="I14" s="23" t="inlineStr">
        <is>
          <t>1C</t>
        </is>
      </c>
      <c r="J14" s="23" t="inlineStr"/>
    </row>
    <row r="15">
      <c r="A15" s="5" t="inlineStr">
        <is>
          <t>20D</t>
        </is>
      </c>
      <c r="B15" s="5" t="inlineStr">
        <is>
          <t>HE JIN</t>
        </is>
      </c>
      <c r="C15" s="23" t="n">
        <v>552</v>
      </c>
      <c r="D15" s="39" t="n">
        <v>46304</v>
      </c>
      <c r="E15" s="39" t="n">
        <v>46304</v>
      </c>
      <c r="F15" s="39" t="n">
        <v>46305.54166666666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6">
      <c r="A16" s="5" t="inlineStr">
        <is>
          <t>20D</t>
        </is>
      </c>
      <c r="B16" s="5" t="inlineStr">
        <is>
          <t>CUL HAIPHONG</t>
        </is>
      </c>
      <c r="C16" s="23" t="n">
        <v>458</v>
      </c>
      <c r="D16" s="39" t="n">
        <v>46304.83333333334</v>
      </c>
      <c r="E16" s="39" t="n">
        <v>46305.66666666666</v>
      </c>
      <c r="F16" s="39" t="n">
        <v>46306.25</v>
      </c>
      <c r="G16" s="24">
        <f>(E16-D16)*24</f>
        <v/>
      </c>
      <c r="H16" s="24">
        <f>(F16-E16)*24</f>
        <v/>
      </c>
      <c r="I16" s="23" t="inlineStr">
        <is>
          <t>4A</t>
        </is>
      </c>
      <c r="J16" s="23" t="inlineStr"/>
    </row>
    <row r="17">
      <c r="A17" s="5" t="inlineStr">
        <is>
          <t>20D</t>
        </is>
      </c>
      <c r="B17" s="5" t="inlineStr">
        <is>
          <t>INCEDA</t>
        </is>
      </c>
      <c r="C17" s="23" t="n">
        <v>564</v>
      </c>
      <c r="D17" s="39" t="n">
        <v>46305.70833333334</v>
      </c>
      <c r="E17" s="39" t="n">
        <v>46306.20833333334</v>
      </c>
      <c r="F17" s="39" t="n">
        <v>46307.58333333334</v>
      </c>
      <c r="G17" s="24">
        <f>(E17-D17)*24</f>
        <v/>
      </c>
      <c r="H17" s="24">
        <f>(F17-E17)*24</f>
        <v/>
      </c>
      <c r="I17" s="23" t="inlineStr">
        <is>
          <t>–</t>
        </is>
      </c>
      <c r="J17" s="23" t="inlineStr"/>
    </row>
    <row r="18">
      <c r="A18" s="5" t="inlineStr">
        <is>
          <t>20D</t>
        </is>
      </c>
      <c r="B18" s="5" t="inlineStr">
        <is>
          <t>KMTC TAIPEIS</t>
        </is>
      </c>
      <c r="C18" s="23" t="n">
        <v>565</v>
      </c>
      <c r="D18" s="39" t="n">
        <v>46307.95833333334</v>
      </c>
      <c r="E18" s="39" t="n">
        <v>46308.20833333334</v>
      </c>
      <c r="F18" s="39" t="n">
        <v>46309.625</v>
      </c>
      <c r="G18" s="24">
        <f>(E18-D18)*24</f>
        <v/>
      </c>
      <c r="H18" s="24">
        <f>(F18-E18)*24</f>
        <v/>
      </c>
      <c r="I18" s="23" t="inlineStr">
        <is>
          <t>–</t>
        </is>
      </c>
      <c r="J18" s="23" t="inlineStr"/>
    </row>
    <row r="19">
      <c r="A19" s="5" t="inlineStr">
        <is>
          <t>20F</t>
        </is>
      </c>
      <c r="B19" s="5" t="inlineStr">
        <is>
          <t>XIN AN</t>
        </is>
      </c>
      <c r="C19" s="23" t="n">
        <v>564</v>
      </c>
      <c r="D19" s="39" t="n">
        <v>46302.54166666666</v>
      </c>
      <c r="E19" s="39" t="n">
        <v>46302.58333333334</v>
      </c>
      <c r="F19" s="39" t="n">
        <v>46304.54166666666</v>
      </c>
      <c r="G19" s="24">
        <f>(E19-D19)*24</f>
        <v/>
      </c>
      <c r="H19" s="24">
        <f>(F19-E19)*24</f>
        <v/>
      </c>
      <c r="I19" s="23" t="inlineStr">
        <is>
          <t>–</t>
        </is>
      </c>
      <c r="J19" s="23" t="inlineStr"/>
    </row>
    <row r="20">
      <c r="A20" s="5" t="inlineStr">
        <is>
          <t>20F</t>
        </is>
      </c>
      <c r="B20" s="5" t="inlineStr">
        <is>
          <t>SAWASDEE ATLANTIC</t>
        </is>
      </c>
      <c r="C20" s="23" t="n">
        <v>564</v>
      </c>
      <c r="D20" s="39" t="n">
        <v>46302.83333333334</v>
      </c>
      <c r="E20" s="39" t="n">
        <v>46304.625</v>
      </c>
      <c r="F20" s="39" t="n">
        <v>46306.125</v>
      </c>
      <c r="G20" s="24">
        <f>(E20-D20)*24</f>
        <v/>
      </c>
      <c r="H20" s="24">
        <f>(F20-E20)*24</f>
        <v/>
      </c>
      <c r="I20" s="23" t="inlineStr">
        <is>
          <t>–</t>
        </is>
      </c>
      <c r="J20" s="23" t="inlineStr"/>
    </row>
    <row r="21">
      <c r="A21" s="5" t="inlineStr">
        <is>
          <t>20F</t>
        </is>
      </c>
      <c r="B21" s="5" t="inlineStr">
        <is>
          <t>XIN MING ZHOU 102</t>
        </is>
      </c>
      <c r="C21" s="23" t="n">
        <v>564</v>
      </c>
      <c r="D21" s="39" t="n">
        <v>46305.875</v>
      </c>
      <c r="E21" s="39" t="n">
        <v>46306.20833333334</v>
      </c>
      <c r="F21" s="39" t="n">
        <v>46307.08333333334</v>
      </c>
      <c r="G21" s="24">
        <f>(E21-D21)*24</f>
        <v/>
      </c>
      <c r="H21" s="24">
        <f>(F21-E21)*24</f>
        <v/>
      </c>
      <c r="I21" s="23" t="inlineStr">
        <is>
          <t>–</t>
        </is>
      </c>
      <c r="J21" s="23" t="inlineStr"/>
    </row>
    <row r="22">
      <c r="A22" s="5" t="inlineStr">
        <is>
          <t>20F</t>
        </is>
      </c>
      <c r="B22" s="5" t="inlineStr">
        <is>
          <t>SAWASDEE SUNRISE</t>
        </is>
      </c>
      <c r="C22" s="23" t="n">
        <v>564</v>
      </c>
      <c r="D22" s="39" t="n">
        <v>46307.20833333334</v>
      </c>
      <c r="E22" s="39" t="n">
        <v>46307.20833333334</v>
      </c>
      <c r="F22" s="39" t="n">
        <v>46308.625</v>
      </c>
      <c r="G22" s="24">
        <f>(E22-D22)*24</f>
        <v/>
      </c>
      <c r="H22" s="24">
        <f>(F22-E22)*24</f>
        <v/>
      </c>
      <c r="I22" s="23" t="inlineStr">
        <is>
          <t>–</t>
        </is>
      </c>
      <c r="J22" s="23" t="inlineStr"/>
    </row>
    <row r="25">
      <c r="A25" s="34" t="inlineStr">
        <is>
          <t>Berth &amp; gate notices on this sheet</t>
        </is>
      </c>
    </row>
    <row r="26">
      <c r="A26" s="3" t="inlineStr">
        <is>
          <t>Berth / Gate</t>
        </is>
      </c>
      <c r="B26" s="3" t="inlineStr">
        <is>
          <t>Type</t>
        </is>
      </c>
      <c r="C26" s="3" t="n"/>
      <c r="D26" s="3" t="inlineStr">
        <is>
          <t>From</t>
        </is>
      </c>
      <c r="E26" s="3" t="inlineStr">
        <is>
          <t>To</t>
        </is>
      </c>
      <c r="F26" s="3" t="inlineStr">
        <is>
          <t>Notice / change vs previous sheet</t>
        </is>
      </c>
      <c r="G26" s="35" t="n"/>
      <c r="H26" s="35" t="n"/>
      <c r="I26" s="35" t="n"/>
      <c r="J26" s="36" t="n"/>
    </row>
    <row r="27" ht="42" customHeight="1">
      <c r="A27" s="16" t="inlineStr">
        <is>
          <t>20D</t>
        </is>
      </c>
      <c r="B27" s="16" t="inlineStr">
        <is>
          <t>Berth closed</t>
        </is>
      </c>
      <c r="C27" s="38" t="n"/>
      <c r="D27" s="40" t="n">
        <v>46299</v>
      </c>
      <c r="E27" s="40" t="n">
        <v>46319</v>
      </c>
      <c r="F27" s="16" t="inlineStr">
        <is>
          <t>Close on 4–24 Oct 2026 to renovate electric channel (HE JIN has shifted in to 20D, other vessels are booked from 10/16)  —  Unchanged – conflicts with vessel bookings, please confirm</t>
        </is>
      </c>
      <c r="G27" s="35" t="n"/>
      <c r="H27" s="35" t="n"/>
      <c r="I27" s="35" t="n"/>
      <c r="J27" s="36" t="n"/>
    </row>
    <row r="28" ht="42" customHeight="1">
      <c r="A28" s="16" t="inlineStr">
        <is>
          <t>20E / G.25</t>
        </is>
      </c>
      <c r="B28" s="16" t="inlineStr">
        <is>
          <t>Gate stopped</t>
        </is>
      </c>
      <c r="C28" s="38" t="n"/>
      <c r="D28" s="40" t="n">
        <v>46300</v>
      </c>
      <c r="E28" s="40" t="n">
        <v>46313</v>
      </c>
      <c r="F28" s="16" t="inlineStr">
        <is>
          <t>G.25 stops working 5–18 Oct 2026 to change trolley rail (in progress)  —  Unchanged</t>
        </is>
      </c>
      <c r="G28" s="35" t="n"/>
      <c r="H28" s="35" t="n"/>
      <c r="I28" s="35" t="n"/>
      <c r="J28" s="36" t="n"/>
    </row>
  </sheetData>
  <mergeCells count="3">
    <mergeCell ref="F28:J28"/>
    <mergeCell ref="F26:J26"/>
    <mergeCell ref="F27:J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2026-10-18T07:23:16Z</dcterms:created>
  <dcterms:modified xmlns:dcterms="http://purl.org/dc/terms/" xmlns:xsi="http://www.w3.org/2001/XMLSchema-instance" xsi:type="dcterms:W3CDTF">2026-10-18T07:23:20Z</dcterms:modified>
</cp:coreProperties>
</file>