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1 Oct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[$-409]dd-mmm-yyyy"/>
    <numFmt numFmtId="165" formatCode="[$-409]dd-mmm hh:mm"/>
    <numFmt numFmtId="166" formatCode="[$-409]dd-mmm-yyyy hh:mm"/>
    <numFmt numFmtId="167" formatCode="0.0"/>
  </numFmts>
  <fonts count="8">
    <font>
      <name val="Calibri"/>
      <family val="2"/>
      <color theme="1"/>
      <sz val="11"/>
      <scheme val="minor"/>
    </font>
    <font>
      <name val="Arial"/>
      <b val="1"/>
      <color rgb="0016324F"/>
      <sz val="14"/>
    </font>
    <font>
      <name val="Arial"/>
      <i val="1"/>
      <color rgb="004F6479"/>
      <sz val="10"/>
    </font>
    <font>
      <name val="Arial"/>
      <b val="1"/>
      <color rgb="00FFFFFF"/>
      <sz val="11"/>
    </font>
    <font>
      <name val="Arial"/>
      <b val="1"/>
      <sz val="10"/>
    </font>
    <font>
      <name val="Arial"/>
      <sz val="10"/>
    </font>
    <font>
      <name val="Arial"/>
      <b val="1"/>
      <color rgb="0016324F"/>
      <sz val="12"/>
    </font>
    <font>
      <name val="Arial"/>
      <color rgb="000000FF"/>
      <sz val="10"/>
    </font>
  </fonts>
  <fills count="4">
    <fill>
      <patternFill/>
    </fill>
    <fill>
      <patternFill patternType="gray125"/>
    </fill>
    <fill>
      <patternFill patternType="solid">
        <fgColor rgb="0016324F"/>
      </patternFill>
    </fill>
    <fill>
      <patternFill patternType="solid">
        <fgColor rgb="00FFF1E2"/>
      </patternFill>
    </fill>
  </fills>
  <borders count="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 style="thin">
        <color rgb="00D9D9D9"/>
      </right>
      <top style="medium">
        <color rgb="0016324F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4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0" fontId="5" fillId="3" borderId="1" applyAlignment="1" pivotButton="0" quotePrefix="0" xfId="0">
      <alignment horizontal="left" vertical="center"/>
    </xf>
    <xf numFmtId="0" fontId="2" fillId="0" borderId="0" applyAlignment="1" pivotButton="0" quotePrefix="0" xfId="0">
      <alignment vertical="top" wrapText="1"/>
    </xf>
    <xf numFmtId="164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164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 wrapText="1"/>
    </xf>
    <xf numFmtId="164" fontId="5" fillId="3" borderId="2" applyAlignment="1" pivotButton="0" quotePrefix="0" xfId="0">
      <alignment horizontal="center" vertical="center"/>
    </xf>
    <xf numFmtId="164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164" fontId="4" fillId="0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left" vertical="center" wrapText="1"/>
    </xf>
    <xf numFmtId="164" fontId="5" fillId="0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5" fillId="0" borderId="2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0" fontId="4" fillId="0" borderId="0" pivotButton="0" quotePrefix="0" xfId="0"/>
    <xf numFmtId="166" fontId="7" fillId="0" borderId="0" applyAlignment="1" pivotButton="0" quotePrefix="0" xfId="0">
      <alignment horizontal="center" vertical="center"/>
    </xf>
    <xf numFmtId="167" fontId="5" fillId="0" borderId="1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/>
    </xf>
    <xf numFmtId="0" fontId="5" fillId="0" borderId="2" applyAlignment="1" pivotButton="0" quotePrefix="0" xfId="0">
      <alignment horizontal="left" vertical="center"/>
    </xf>
    <xf numFmtId="165" fontId="5" fillId="0" borderId="2" applyAlignment="1" pivotButton="0" quotePrefix="0" xfId="0">
      <alignment horizontal="center" vertical="center"/>
    </xf>
    <xf numFmtId="167" fontId="5" fillId="0" borderId="2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67" fontId="5" fillId="3" borderId="1" applyAlignment="1" pivotButton="0" quotePrefix="0" xfId="0">
      <alignment horizontal="center" vertical="center"/>
    </xf>
    <xf numFmtId="0" fontId="4" fillId="3" borderId="2" applyAlignment="1" pivotButton="0" quotePrefix="0" xfId="0">
      <alignment horizontal="left" vertical="center"/>
    </xf>
    <xf numFmtId="0" fontId="5" fillId="3" borderId="2" applyAlignment="1" pivotButton="0" quotePrefix="0" xfId="0">
      <alignment horizontal="left" vertical="center"/>
    </xf>
    <xf numFmtId="165" fontId="5" fillId="3" borderId="2" applyAlignment="1" pivotButton="0" quotePrefix="0" xfId="0">
      <alignment horizontal="center" vertical="center"/>
    </xf>
    <xf numFmtId="167" fontId="5" fillId="3" borderId="2" applyAlignment="1" pivotButton="0" quotePrefix="0" xfId="0">
      <alignment horizontal="center" vertical="center"/>
    </xf>
    <xf numFmtId="0" fontId="6" fillId="0" borderId="0" pivotButton="0" quotePrefix="0" xfId="0"/>
    <xf numFmtId="0" fontId="0" fillId="0" borderId="5" pivotButton="0" quotePrefix="0" xfId="0"/>
    <xf numFmtId="0" fontId="0" fillId="0" borderId="6" pivotButton="0" quotePrefix="0" xfId="0"/>
    <xf numFmtId="0" fontId="5" fillId="0" borderId="1" pivotButton="0" quotePrefix="0" xfId="0"/>
    <xf numFmtId="0" fontId="5" fillId="3" borderId="1" pivotButton="0" quotePrefix="0" xfId="0"/>
    <xf numFmtId="165" fontId="5" fillId="0" borderId="1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16" customWidth="1" min="4" max="4"/>
    <col width="16" customWidth="1" min="5" max="5"/>
    <col width="16" customWidth="1" min="6" max="6"/>
    <col width="18" customWidth="1" min="7" max="7"/>
    <col width="16" customWidth="1" min="8" max="8"/>
    <col width="10" customWidth="1" min="9" max="9"/>
    <col width="10" customWidth="1" min="10" max="10"/>
  </cols>
  <sheetData>
    <row r="1">
      <c r="A1" s="1" t="inlineStr">
        <is>
          <t>PAT Berth Window — Vessel List by Berth — Sheet dated 01 Oct 2026</t>
        </is>
      </c>
    </row>
    <row r="3">
      <c r="A3" s="3" t="inlineStr">
        <is>
          <t>Berth</t>
        </is>
      </c>
      <c r="B3" s="3" t="inlineStr">
        <is>
          <t>Vessel</t>
        </is>
      </c>
      <c r="C3" s="3" t="inlineStr">
        <is>
          <t>LOA (m)</t>
        </is>
      </c>
      <c r="D3" s="3" t="inlineStr">
        <is>
          <t>ETA</t>
        </is>
      </c>
      <c r="E3" s="3" t="inlineStr">
        <is>
          <t>P.B</t>
        </is>
      </c>
      <c r="F3" s="3" t="inlineStr">
        <is>
          <t>ETD</t>
        </is>
      </c>
      <c r="G3" s="3" t="inlineStr">
        <is>
          <t>Waiting for Berth (h)</t>
        </is>
      </c>
      <c r="H3" s="3" t="inlineStr">
        <is>
          <t>Hours Alongside</t>
        </is>
      </c>
      <c r="I3" s="3" t="inlineStr">
        <is>
          <t>Shift</t>
        </is>
      </c>
      <c r="J3" s="3" t="inlineStr">
        <is>
          <t>Marked</t>
        </is>
      </c>
    </row>
    <row r="4">
      <c r="A4" s="5" t="inlineStr">
        <is>
          <t>20AB</t>
        </is>
      </c>
      <c r="B4" s="5" t="inlineStr">
        <is>
          <t>CAPE FAWLEY</t>
        </is>
      </c>
      <c r="C4" s="23" t="n">
        <v>558</v>
      </c>
      <c r="D4" s="44" t="n">
        <v>46295.875</v>
      </c>
      <c r="E4" s="44" t="n">
        <v>46296.25</v>
      </c>
      <c r="F4" s="44" t="n">
        <v>46297.25</v>
      </c>
      <c r="G4" s="28">
        <f>(E4-D4)*24</f>
        <v/>
      </c>
      <c r="H4" s="28">
        <f>(F4-E4)*24</f>
        <v/>
      </c>
      <c r="I4" s="23" t="inlineStr">
        <is>
          <t>–</t>
        </is>
      </c>
      <c r="J4" s="23" t="inlineStr"/>
    </row>
    <row r="5">
      <c r="A5" s="5" t="inlineStr">
        <is>
          <t>20AB</t>
        </is>
      </c>
      <c r="B5" s="5" t="inlineStr">
        <is>
          <t>KMTC BANGKOK</t>
        </is>
      </c>
      <c r="C5" s="23" t="n">
        <v>565</v>
      </c>
      <c r="D5" s="44" t="n">
        <v>46297.25</v>
      </c>
      <c r="E5" s="44" t="n">
        <v>46297.33333333334</v>
      </c>
      <c r="F5" s="44" t="n">
        <v>46298.70833333334</v>
      </c>
      <c r="G5" s="28">
        <f>(E5-D5)*24</f>
        <v/>
      </c>
      <c r="H5" s="28">
        <f>(F5-E5)*24</f>
        <v/>
      </c>
      <c r="I5" s="23" t="inlineStr">
        <is>
          <t>–</t>
        </is>
      </c>
      <c r="J5" s="23" t="inlineStr"/>
    </row>
    <row r="6">
      <c r="A6" s="6" t="inlineStr">
        <is>
          <t>20B</t>
        </is>
      </c>
      <c r="B6" s="6" t="inlineStr">
        <is>
          <t>KHARIS HERITAGE</t>
        </is>
      </c>
      <c r="C6" s="17" t="n">
        <v>482</v>
      </c>
      <c r="D6" s="45" t="n">
        <v>46296.5</v>
      </c>
      <c r="E6" s="45" t="n">
        <v>46296.70833333334</v>
      </c>
      <c r="F6" s="45" t="n">
        <v>46297.70833333334</v>
      </c>
      <c r="G6" s="34">
        <f>(E6-D6)*24</f>
        <v/>
      </c>
      <c r="H6" s="34">
        <f>(F6-E6)*24</f>
        <v/>
      </c>
      <c r="I6" s="17" t="inlineStr">
        <is>
          <t>–</t>
        </is>
      </c>
      <c r="J6" s="17" t="inlineStr">
        <is>
          <t>Yes</t>
        </is>
      </c>
    </row>
    <row r="7">
      <c r="A7" s="5" t="inlineStr">
        <is>
          <t>20B</t>
        </is>
      </c>
      <c r="B7" s="5" t="inlineStr">
        <is>
          <t>ZHONG GU BEI HAI</t>
        </is>
      </c>
      <c r="C7" s="23" t="n">
        <v>561</v>
      </c>
      <c r="D7" s="44" t="n">
        <v>46298.91666666666</v>
      </c>
      <c r="E7" s="44" t="n">
        <v>46299.375</v>
      </c>
      <c r="F7" s="44" t="n">
        <v>46300.66666666666</v>
      </c>
      <c r="G7" s="28">
        <f>(E7-D7)*24</f>
        <v/>
      </c>
      <c r="H7" s="28">
        <f>(F7-E7)*24</f>
        <v/>
      </c>
      <c r="I7" s="23" t="inlineStr">
        <is>
          <t>–</t>
        </is>
      </c>
      <c r="J7" s="23" t="inlineStr"/>
    </row>
    <row r="8">
      <c r="A8" s="5" t="inlineStr">
        <is>
          <t>20C</t>
        </is>
      </c>
      <c r="B8" s="5" t="inlineStr">
        <is>
          <t>YM IMPROVEMENT</t>
        </is>
      </c>
      <c r="C8" s="23" t="n">
        <v>564</v>
      </c>
      <c r="D8" s="44" t="n">
        <v>46298.83333333334</v>
      </c>
      <c r="E8" s="44" t="n">
        <v>46298.83333333334</v>
      </c>
      <c r="F8" s="44" t="n">
        <v>46300.41666666666</v>
      </c>
      <c r="G8" s="28">
        <f>(E8-D8)*24</f>
        <v/>
      </c>
      <c r="H8" s="28">
        <f>(F8-E8)*24</f>
        <v/>
      </c>
      <c r="I8" s="23" t="inlineStr">
        <is>
          <t>–</t>
        </is>
      </c>
      <c r="J8" s="23" t="inlineStr"/>
    </row>
    <row r="9">
      <c r="A9" s="6" t="inlineStr">
        <is>
          <t>20D</t>
        </is>
      </c>
      <c r="B9" s="6" t="inlineStr">
        <is>
          <t>ALS SUMIRE</t>
        </is>
      </c>
      <c r="C9" s="17" t="n">
        <v>537</v>
      </c>
      <c r="D9" s="45" t="n">
        <v>46296.70833333334</v>
      </c>
      <c r="E9" s="45" t="n">
        <v>46296.70833333334</v>
      </c>
      <c r="F9" s="45" t="n">
        <v>46297.70833333334</v>
      </c>
      <c r="G9" s="34">
        <f>(E9-D9)*24</f>
        <v/>
      </c>
      <c r="H9" s="34">
        <f>(F9-E9)*24</f>
        <v/>
      </c>
      <c r="I9" s="17" t="inlineStr">
        <is>
          <t>1C</t>
        </is>
      </c>
      <c r="J9" s="17" t="inlineStr">
        <is>
          <t>Yes</t>
        </is>
      </c>
    </row>
    <row r="10">
      <c r="A10" s="5" t="inlineStr">
        <is>
          <t>20E</t>
        </is>
      </c>
      <c r="B10" s="5" t="inlineStr">
        <is>
          <t>RESURGENCE</t>
        </is>
      </c>
      <c r="C10" s="23" t="n">
        <v>458</v>
      </c>
      <c r="D10" s="44" t="n">
        <v>46298.75</v>
      </c>
      <c r="E10" s="44" t="n">
        <v>46298.75</v>
      </c>
      <c r="F10" s="44" t="n">
        <v>46299.83333333334</v>
      </c>
      <c r="G10" s="28">
        <f>(E10-D10)*24</f>
        <v/>
      </c>
      <c r="H10" s="28">
        <f>(F10-E10)*24</f>
        <v/>
      </c>
      <c r="I10" s="23" t="inlineStr">
        <is>
          <t>–</t>
        </is>
      </c>
      <c r="J10" s="23" t="inlineStr"/>
    </row>
    <row r="11">
      <c r="A11" s="5" t="inlineStr">
        <is>
          <t>20F</t>
        </is>
      </c>
      <c r="B11" s="5" t="inlineStr">
        <is>
          <t>WAN HAI 278</t>
        </is>
      </c>
      <c r="C11" s="23" t="n">
        <v>564</v>
      </c>
      <c r="D11" s="44" t="n">
        <v>46297.375</v>
      </c>
      <c r="E11" s="44" t="n">
        <v>46297.375</v>
      </c>
      <c r="F11" s="44" t="n">
        <v>46299.41666666666</v>
      </c>
      <c r="G11" s="28">
        <f>(E11-D11)*24</f>
        <v/>
      </c>
      <c r="H11" s="28">
        <f>(F11-E11)*24</f>
        <v/>
      </c>
      <c r="I11" s="23" t="inlineStr">
        <is>
          <t>–</t>
        </is>
      </c>
      <c r="J11" s="23" t="inlineStr"/>
    </row>
    <row r="14">
      <c r="A14" s="39" t="inlineStr">
        <is>
          <t>Berth &amp; gate notices on this sheet</t>
        </is>
      </c>
    </row>
    <row r="15">
      <c r="A15" s="3" t="inlineStr">
        <is>
          <t>Berth / Gate</t>
        </is>
      </c>
      <c r="B15" s="3" t="inlineStr">
        <is>
          <t>Type</t>
        </is>
      </c>
      <c r="C15" s="3" t="n"/>
      <c r="D15" s="3" t="inlineStr">
        <is>
          <t>From</t>
        </is>
      </c>
      <c r="E15" s="3" t="inlineStr">
        <is>
          <t>To</t>
        </is>
      </c>
      <c r="F15" s="3" t="inlineStr">
        <is>
          <t>Notice / change vs previous sheet</t>
        </is>
      </c>
      <c r="G15" s="40" t="n"/>
      <c r="H15" s="40" t="n"/>
      <c r="I15" s="40" t="n"/>
      <c r="J15" s="41" t="n"/>
    </row>
    <row r="16" ht="42" customHeight="1">
      <c r="A16" s="16" t="inlineStr">
        <is>
          <t>20AB / G.29</t>
        </is>
      </c>
      <c r="B16" s="16" t="inlineStr">
        <is>
          <t>Gate stopped</t>
        </is>
      </c>
      <c r="C16" s="43" t="n"/>
      <c r="D16" s="17" t="inlineStr">
        <is>
          <t>–</t>
        </is>
      </c>
      <c r="E16" s="17" t="inlineStr">
        <is>
          <t>–</t>
        </is>
      </c>
      <c r="F16" s="16" t="inlineStr">
        <is>
          <t>(no longer listed – 29–30 Sep period has ended)  —  Dropped from sheet</t>
        </is>
      </c>
      <c r="G16" s="40" t="n"/>
      <c r="H16" s="40" t="n"/>
      <c r="I16" s="40" t="n"/>
      <c r="J16" s="41" t="n"/>
    </row>
    <row r="17" ht="42" customHeight="1">
      <c r="A17" s="9" t="inlineStr">
        <is>
          <t>20C</t>
        </is>
      </c>
      <c r="B17" s="9" t="inlineStr">
        <is>
          <t>Berth closed</t>
        </is>
      </c>
      <c r="C17" s="42" t="n"/>
      <c r="D17" s="23" t="inlineStr">
        <is>
          <t>–</t>
        </is>
      </c>
      <c r="E17" s="46" t="n">
        <v>46298</v>
      </c>
      <c r="F17" s="9" t="inlineStr">
        <is>
          <t>Wharf will be utilised on 3 Oct (sheet prints 2027, treated as a typo)  —  Unchanged</t>
        </is>
      </c>
      <c r="G17" s="40" t="n"/>
      <c r="H17" s="40" t="n"/>
      <c r="I17" s="40" t="n"/>
      <c r="J17" s="41" t="n"/>
    </row>
    <row r="18" ht="42" customHeight="1">
      <c r="A18" s="9" t="inlineStr">
        <is>
          <t>20D</t>
        </is>
      </c>
      <c r="B18" s="9" t="inlineStr">
        <is>
          <t>Berth closed</t>
        </is>
      </c>
      <c r="C18" s="42" t="n"/>
      <c r="D18" s="46" t="n">
        <v>46298</v>
      </c>
      <c r="E18" s="46" t="n">
        <v>46319</v>
      </c>
      <c r="F18" s="9" t="inlineStr">
        <is>
          <t>Close on 3–24 Oct 2026 to renovate electric channel  —  Unchanged</t>
        </is>
      </c>
      <c r="G18" s="40" t="n"/>
      <c r="H18" s="40" t="n"/>
      <c r="I18" s="40" t="n"/>
      <c r="J18" s="41" t="n"/>
    </row>
    <row r="19" ht="42" customHeight="1">
      <c r="A19" s="9" t="inlineStr">
        <is>
          <t>20E / G.25</t>
        </is>
      </c>
      <c r="B19" s="9" t="inlineStr">
        <is>
          <t>Gate stopped</t>
        </is>
      </c>
      <c r="C19" s="42" t="n"/>
      <c r="D19" s="46" t="n">
        <v>46298</v>
      </c>
      <c r="E19" s="46" t="n">
        <v>46313</v>
      </c>
      <c r="F19" s="9" t="inlineStr">
        <is>
          <t>G.25 stops working 3–18 Oct 2026 to change trolley rail  —  Unchanged</t>
        </is>
      </c>
      <c r="G19" s="40" t="n"/>
      <c r="H19" s="40" t="n"/>
      <c r="I19" s="40" t="n"/>
      <c r="J19" s="41" t="n"/>
    </row>
  </sheetData>
  <mergeCells count="5">
    <mergeCell ref="F17:J17"/>
    <mergeCell ref="F15:J15"/>
    <mergeCell ref="F16:J16"/>
    <mergeCell ref="F19:J19"/>
    <mergeCell ref="F18:J18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2026-10-12T05:31:51Z</dcterms:created>
  <dcterms:modified xmlns:dcterms="http://purl.org/dc/terms/" xmlns:xsi="http://www.w3.org/2001/XMLSchema-instance" xsi:type="dcterms:W3CDTF">2026-10-12T05:31:52Z</dcterms:modified>
</cp:coreProperties>
</file>