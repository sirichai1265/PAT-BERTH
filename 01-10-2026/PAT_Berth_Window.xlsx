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7" fillId="0" borderId="0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165" fontId="5" fillId="3" borderId="2" applyAlignment="1" pivotButton="0" quotePrefix="0" xfId="0">
      <alignment horizontal="center" vertical="center"/>
    </xf>
    <xf numFmtId="167" fontId="5" fillId="3" borderId="2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165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0" customWidth="1" min="9" max="9"/>
  </cols>
  <sheetData>
    <row r="1">
      <c r="A1" s="1" t="inlineStr">
        <is>
          <t>PAT Berth Window — Vessel List by Berth — Sheet dated 01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Hours Alongside</t>
        </is>
      </c>
      <c r="H3" s="3" t="inlineStr">
        <is>
          <t>Shift</t>
        </is>
      </c>
      <c r="I3" s="3" t="inlineStr">
        <is>
          <t>Marked</t>
        </is>
      </c>
    </row>
    <row r="4">
      <c r="A4" s="5" t="inlineStr">
        <is>
          <t>20AB</t>
        </is>
      </c>
      <c r="B4" s="5" t="inlineStr">
        <is>
          <t>CAPE FAWLEY</t>
        </is>
      </c>
      <c r="C4" s="23" t="n">
        <v>558</v>
      </c>
      <c r="D4" s="44" t="n">
        <v>46295.875</v>
      </c>
      <c r="E4" s="44" t="n">
        <v>46296.25</v>
      </c>
      <c r="F4" s="44" t="n">
        <v>46297.25</v>
      </c>
      <c r="G4" s="28">
        <f>(F4-E4)*24</f>
        <v/>
      </c>
      <c r="H4" s="23" t="inlineStr">
        <is>
          <t>–</t>
        </is>
      </c>
      <c r="I4" s="23" t="inlineStr"/>
    </row>
    <row r="5">
      <c r="A5" s="5" t="inlineStr">
        <is>
          <t>20AB</t>
        </is>
      </c>
      <c r="B5" s="5" t="inlineStr">
        <is>
          <t>KMTC BANGKOK</t>
        </is>
      </c>
      <c r="C5" s="23" t="n">
        <v>565</v>
      </c>
      <c r="D5" s="44" t="n">
        <v>46297.25</v>
      </c>
      <c r="E5" s="44" t="n">
        <v>46297.33333333334</v>
      </c>
      <c r="F5" s="44" t="n">
        <v>46298.70833333334</v>
      </c>
      <c r="G5" s="28">
        <f>(F5-E5)*24</f>
        <v/>
      </c>
      <c r="H5" s="23" t="inlineStr">
        <is>
          <t>–</t>
        </is>
      </c>
      <c r="I5" s="23" t="inlineStr"/>
    </row>
    <row r="6">
      <c r="A6" s="6" t="inlineStr">
        <is>
          <t>20B</t>
        </is>
      </c>
      <c r="B6" s="6" t="inlineStr">
        <is>
          <t>KHARIS HERITAGE</t>
        </is>
      </c>
      <c r="C6" s="17" t="n">
        <v>482</v>
      </c>
      <c r="D6" s="45" t="n">
        <v>46296.5</v>
      </c>
      <c r="E6" s="45" t="n">
        <v>46296.70833333334</v>
      </c>
      <c r="F6" s="45" t="n">
        <v>46297.70833333334</v>
      </c>
      <c r="G6" s="34">
        <f>(F6-E6)*24</f>
        <v/>
      </c>
      <c r="H6" s="17" t="inlineStr">
        <is>
          <t>–</t>
        </is>
      </c>
      <c r="I6" s="17" t="inlineStr">
        <is>
          <t>Yes</t>
        </is>
      </c>
    </row>
    <row r="7">
      <c r="A7" s="5" t="inlineStr">
        <is>
          <t>20B</t>
        </is>
      </c>
      <c r="B7" s="5" t="inlineStr">
        <is>
          <t>ZHONG GU BEI HAI</t>
        </is>
      </c>
      <c r="C7" s="23" t="n">
        <v>561</v>
      </c>
      <c r="D7" s="44" t="n">
        <v>46298.91666666666</v>
      </c>
      <c r="E7" s="44" t="n">
        <v>46299.375</v>
      </c>
      <c r="F7" s="44" t="n">
        <v>46300.66666666666</v>
      </c>
      <c r="G7" s="28">
        <f>(F7-E7)*24</f>
        <v/>
      </c>
      <c r="H7" s="23" t="inlineStr">
        <is>
          <t>–</t>
        </is>
      </c>
      <c r="I7" s="23" t="inlineStr"/>
    </row>
    <row r="8">
      <c r="A8" s="5" t="inlineStr">
        <is>
          <t>20C</t>
        </is>
      </c>
      <c r="B8" s="5" t="inlineStr">
        <is>
          <t>YM IMPROVEMENT</t>
        </is>
      </c>
      <c r="C8" s="23" t="n">
        <v>564</v>
      </c>
      <c r="D8" s="44" t="n">
        <v>46298.83333333334</v>
      </c>
      <c r="E8" s="44" t="n">
        <v>46298.83333333334</v>
      </c>
      <c r="F8" s="44" t="n">
        <v>46300.41666666666</v>
      </c>
      <c r="G8" s="28">
        <f>(F8-E8)*24</f>
        <v/>
      </c>
      <c r="H8" s="23" t="inlineStr">
        <is>
          <t>–</t>
        </is>
      </c>
      <c r="I8" s="23" t="inlineStr"/>
    </row>
    <row r="9">
      <c r="A9" s="6" t="inlineStr">
        <is>
          <t>20D</t>
        </is>
      </c>
      <c r="B9" s="6" t="inlineStr">
        <is>
          <t>ALS SUMIRE</t>
        </is>
      </c>
      <c r="C9" s="17" t="n">
        <v>537</v>
      </c>
      <c r="D9" s="45" t="n">
        <v>46296.70833333334</v>
      </c>
      <c r="E9" s="45" t="n">
        <v>46296.70833333334</v>
      </c>
      <c r="F9" s="45" t="n">
        <v>46297.70833333334</v>
      </c>
      <c r="G9" s="34">
        <f>(F9-E9)*24</f>
        <v/>
      </c>
      <c r="H9" s="17" t="inlineStr">
        <is>
          <t>1C</t>
        </is>
      </c>
      <c r="I9" s="17" t="inlineStr">
        <is>
          <t>Yes</t>
        </is>
      </c>
    </row>
    <row r="10">
      <c r="A10" s="5" t="inlineStr">
        <is>
          <t>20E</t>
        </is>
      </c>
      <c r="B10" s="5" t="inlineStr">
        <is>
          <t>RESURGENCE</t>
        </is>
      </c>
      <c r="C10" s="23" t="n">
        <v>458</v>
      </c>
      <c r="D10" s="44" t="n">
        <v>46298.75</v>
      </c>
      <c r="E10" s="44" t="n">
        <v>46298.75</v>
      </c>
      <c r="F10" s="44" t="n">
        <v>46299.83333333334</v>
      </c>
      <c r="G10" s="28">
        <f>(F10-E10)*24</f>
        <v/>
      </c>
      <c r="H10" s="23" t="inlineStr">
        <is>
          <t>–</t>
        </is>
      </c>
      <c r="I10" s="23" t="inlineStr"/>
    </row>
    <row r="11">
      <c r="A11" s="5" t="inlineStr">
        <is>
          <t>20F</t>
        </is>
      </c>
      <c r="B11" s="5" t="inlineStr">
        <is>
          <t>WAN HAI 278</t>
        </is>
      </c>
      <c r="C11" s="23" t="n">
        <v>564</v>
      </c>
      <c r="D11" s="44" t="n">
        <v>46297.375</v>
      </c>
      <c r="E11" s="44" t="n">
        <v>46297.375</v>
      </c>
      <c r="F11" s="44" t="n">
        <v>46299.41666666666</v>
      </c>
      <c r="G11" s="28">
        <f>(F11-E11)*24</f>
        <v/>
      </c>
      <c r="H11" s="23" t="inlineStr">
        <is>
          <t>–</t>
        </is>
      </c>
      <c r="I11" s="23" t="inlineStr"/>
    </row>
    <row r="14">
      <c r="A14" s="39" t="inlineStr">
        <is>
          <t>Berth &amp; gate notices on this sheet</t>
        </is>
      </c>
    </row>
    <row r="15">
      <c r="A15" s="3" t="inlineStr">
        <is>
          <t>Berth / Gate</t>
        </is>
      </c>
      <c r="B15" s="3" t="inlineStr">
        <is>
          <t>Type</t>
        </is>
      </c>
      <c r="C15" s="3" t="n"/>
      <c r="D15" s="3" t="inlineStr">
        <is>
          <t>From</t>
        </is>
      </c>
      <c r="E15" s="3" t="inlineStr">
        <is>
          <t>To</t>
        </is>
      </c>
      <c r="F15" s="3" t="inlineStr">
        <is>
          <t>Notice / change vs previous sheet</t>
        </is>
      </c>
      <c r="G15" s="40" t="n"/>
      <c r="H15" s="40" t="n"/>
      <c r="I15" s="41" t="n"/>
    </row>
    <row r="16" ht="42" customHeight="1">
      <c r="A16" s="16" t="inlineStr">
        <is>
          <t>20AB / G.29</t>
        </is>
      </c>
      <c r="B16" s="16" t="inlineStr">
        <is>
          <t>Gate stopped</t>
        </is>
      </c>
      <c r="C16" s="43" t="n"/>
      <c r="D16" s="17" t="inlineStr">
        <is>
          <t>–</t>
        </is>
      </c>
      <c r="E16" s="17" t="inlineStr">
        <is>
          <t>–</t>
        </is>
      </c>
      <c r="F16" s="16" t="inlineStr">
        <is>
          <t>(no longer listed – 29–30 Sep period has ended)  —  Dropped from sheet</t>
        </is>
      </c>
      <c r="G16" s="40" t="n"/>
      <c r="H16" s="40" t="n"/>
      <c r="I16" s="41" t="n"/>
    </row>
    <row r="17" ht="42" customHeight="1">
      <c r="A17" s="9" t="inlineStr">
        <is>
          <t>20C</t>
        </is>
      </c>
      <c r="B17" s="9" t="inlineStr">
        <is>
          <t>Berth closed</t>
        </is>
      </c>
      <c r="C17" s="42" t="n"/>
      <c r="D17" s="23" t="inlineStr">
        <is>
          <t>–</t>
        </is>
      </c>
      <c r="E17" s="46" t="n">
        <v>46298</v>
      </c>
      <c r="F17" s="9" t="inlineStr">
        <is>
          <t>Wharf will be utilised on 3 Oct (sheet prints 2027, treated as a typo)  —  Unchanged</t>
        </is>
      </c>
      <c r="G17" s="40" t="n"/>
      <c r="H17" s="40" t="n"/>
      <c r="I17" s="41" t="n"/>
    </row>
    <row r="18" ht="42" customHeight="1">
      <c r="A18" s="9" t="inlineStr">
        <is>
          <t>20D</t>
        </is>
      </c>
      <c r="B18" s="9" t="inlineStr">
        <is>
          <t>Berth closed</t>
        </is>
      </c>
      <c r="C18" s="42" t="n"/>
      <c r="D18" s="46" t="n">
        <v>46298</v>
      </c>
      <c r="E18" s="46" t="n">
        <v>46319</v>
      </c>
      <c r="F18" s="9" t="inlineStr">
        <is>
          <t>Close on 3–24 Oct 2026 to renovate electric channel  —  Unchanged</t>
        </is>
      </c>
      <c r="G18" s="40" t="n"/>
      <c r="H18" s="40" t="n"/>
      <c r="I18" s="41" t="n"/>
    </row>
    <row r="19" ht="42" customHeight="1">
      <c r="A19" s="9" t="inlineStr">
        <is>
          <t>20E / G.25</t>
        </is>
      </c>
      <c r="B19" s="9" t="inlineStr">
        <is>
          <t>Gate stopped</t>
        </is>
      </c>
      <c r="C19" s="42" t="n"/>
      <c r="D19" s="46" t="n">
        <v>46298</v>
      </c>
      <c r="E19" s="46" t="n">
        <v>46313</v>
      </c>
      <c r="F19" s="9" t="inlineStr">
        <is>
          <t>G.25 stops working 3–18 Oct 2026 to change trolley rail  —  Unchanged</t>
        </is>
      </c>
      <c r="G19" s="40" t="n"/>
      <c r="H19" s="40" t="n"/>
      <c r="I19" s="41" t="n"/>
    </row>
  </sheetData>
  <mergeCells count="5">
    <mergeCell ref="F18:I18"/>
    <mergeCell ref="F17:I17"/>
    <mergeCell ref="F15:I15"/>
    <mergeCell ref="F16:I16"/>
    <mergeCell ref="F19:I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2026-10-12T03:15:52Z</dcterms:created>
  <dcterms:modified xmlns:dcterms="http://purl.org/dc/terms/" xmlns:xsi="http://www.w3.org/2001/XMLSchema-instance" xsi:type="dcterms:W3CDTF">2026-10-12T03:15:53Z</dcterms:modified>
</cp:coreProperties>
</file>