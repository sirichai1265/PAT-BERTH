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(E4-D4)*24</f>
        <v/>
      </c>
      <c r="H4" s="28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44" t="n">
        <v>46299.375</v>
      </c>
      <c r="E5" s="44" t="n">
        <v>46299.625</v>
      </c>
      <c r="F5" s="44" t="n">
        <v>46301.41666666666</v>
      </c>
      <c r="G5" s="28">
        <f>(E5-D5)*24</f>
        <v/>
      </c>
      <c r="H5" s="28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44" t="n">
        <v>46300.91666666666</v>
      </c>
      <c r="E6" s="44" t="n">
        <v>46301.5</v>
      </c>
      <c r="F6" s="44" t="n">
        <v>46302.54166666666</v>
      </c>
      <c r="G6" s="28">
        <f>(E6-D6)*24</f>
        <v/>
      </c>
      <c r="H6" s="28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(E7-D7)*24</f>
        <v/>
      </c>
      <c r="H7" s="28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(E8-D8)*24</f>
        <v/>
      </c>
      <c r="H8" s="28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(E9-D9)*24</f>
        <v/>
      </c>
      <c r="H9" s="28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46297.75</v>
      </c>
      <c r="E10" s="44" t="n">
        <v>46298.41666666666</v>
      </c>
      <c r="F10" s="44" t="n">
        <v>46300.45833333334</v>
      </c>
      <c r="G10" s="28">
        <f>(E10-D10)*24</f>
        <v/>
      </c>
      <c r="H10" s="28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44" t="n">
        <v>46299.375</v>
      </c>
      <c r="E11" s="44" t="n">
        <v>46299.375</v>
      </c>
      <c r="F11" s="44" t="n">
        <v>46300.375</v>
      </c>
      <c r="G11" s="28">
        <f>(E11-D11)*24</f>
        <v/>
      </c>
      <c r="H11" s="28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44" t="n">
        <v>46301.58333333334</v>
      </c>
      <c r="E12" s="44" t="n">
        <v>46301.58333333334</v>
      </c>
      <c r="F12" s="44" t="n">
        <v>46303.5</v>
      </c>
      <c r="G12" s="28">
        <f>(E12-D12)*24</f>
        <v/>
      </c>
      <c r="H12" s="28">
        <f>(F12-E12)*24</f>
        <v/>
      </c>
      <c r="I12" s="23" t="inlineStr">
        <is>
          <t>–</t>
        </is>
      </c>
      <c r="J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0" t="n"/>
      <c r="J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5" t="n">
        <v>46300</v>
      </c>
      <c r="F17" s="9" t="inlineStr">
        <is>
          <t>Wharf will be utilised on 5 Oct (sheet prints 2027, treated as a typo)  —  Unchanged</t>
        </is>
      </c>
      <c r="G17" s="40" t="n"/>
      <c r="H17" s="40" t="n"/>
      <c r="I17" s="40" t="n"/>
      <c r="J17" s="4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43" t="n"/>
      <c r="D18" s="46" t="n">
        <v>46299</v>
      </c>
      <c r="E18" s="46" t="n">
        <v>46319</v>
      </c>
      <c r="F18" s="16" t="inlineStr">
        <is>
          <t>Close on 4–24 Oct 2026 to renovate electric channel  —  End back to 24 Oct</t>
        </is>
      </c>
      <c r="G18" s="40" t="n"/>
      <c r="H18" s="40" t="n"/>
      <c r="I18" s="40" t="n"/>
      <c r="J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5" t="n">
        <v>46300</v>
      </c>
      <c r="E19" s="45" t="n">
        <v>46313</v>
      </c>
      <c r="F19" s="9" t="inlineStr">
        <is>
          <t>G.25 stops working 5–18 Oct 2026 to change trolley rail  —  End confirmed as 18 Oct</t>
        </is>
      </c>
      <c r="G19" s="40" t="n"/>
      <c r="H19" s="40" t="n"/>
      <c r="I19" s="40" t="n"/>
      <c r="J19" s="41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2026-10-14T03:27:19Z</dcterms:created>
  <dcterms:modified xmlns:dcterms="http://purl.org/dc/terms/" xmlns:xsi="http://www.w3.org/2001/XMLSchema-instance" xsi:type="dcterms:W3CDTF">2026-10-14T03:27:21Z</dcterms:modified>
</cp:coreProperties>
</file>