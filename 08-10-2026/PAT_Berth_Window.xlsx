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8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08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44" t="n">
        <v>46301.54166666666</v>
      </c>
      <c r="E4" s="44" t="n">
        <v>46301.54166666666</v>
      </c>
      <c r="F4" s="44" t="n">
        <v>46303.5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44" t="n">
        <v>46302.41666666666</v>
      </c>
      <c r="E5" s="44" t="n">
        <v>46303.54166666666</v>
      </c>
      <c r="F5" s="44" t="n">
        <v>46304.58333333334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KANWAY FORTUNE</t>
        </is>
      </c>
      <c r="C6" s="23" t="n">
        <v>564</v>
      </c>
      <c r="D6" s="44" t="n">
        <v>46303.75</v>
      </c>
      <c r="E6" s="44" t="n">
        <v>46304.58333333334</v>
      </c>
      <c r="F6" s="44" t="n">
        <v>46305.625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44" t="n">
        <v>46304.91666666666</v>
      </c>
      <c r="E7" s="44" t="n">
        <v>46305.625</v>
      </c>
      <c r="F7" s="44" t="n">
        <v>46306.625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4" t="n">
        <v>46300.875</v>
      </c>
      <c r="E8" s="44" t="n">
        <v>46301.54166666666</v>
      </c>
      <c r="F8" s="44" t="n">
        <v>46303.54166666666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44" t="n">
        <v>46302.625</v>
      </c>
      <c r="E9" s="44" t="n">
        <v>46303.58333333334</v>
      </c>
      <c r="F9" s="44" t="n">
        <v>46304.70833333334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44" t="n">
        <v>46304.375</v>
      </c>
      <c r="E10" s="44" t="n">
        <v>46304.66666666666</v>
      </c>
      <c r="F10" s="44" t="n">
        <v>46306.58333333334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20C</t>
        </is>
      </c>
      <c r="B11" s="5" t="inlineStr">
        <is>
          <t>JOSCO LUCKY</t>
        </is>
      </c>
      <c r="C11" s="23" t="n">
        <v>564</v>
      </c>
      <c r="D11" s="44" t="n">
        <v>46301.875</v>
      </c>
      <c r="E11" s="44" t="n">
        <v>46302.54166666666</v>
      </c>
      <c r="F11" s="44" t="n">
        <v>46303.54166666666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20C</t>
        </is>
      </c>
      <c r="B12" s="5" t="inlineStr">
        <is>
          <t>ZHONG GU DONG HAI</t>
        </is>
      </c>
      <c r="C12" s="23" t="n">
        <v>564</v>
      </c>
      <c r="D12" s="44" t="n">
        <v>46302.58333333334</v>
      </c>
      <c r="E12" s="44" t="n">
        <v>46303.58333333334</v>
      </c>
      <c r="F12" s="44" t="n">
        <v>46304.58333333334</v>
      </c>
      <c r="G12" s="28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20C</t>
        </is>
      </c>
      <c r="B13" s="5" t="inlineStr">
        <is>
          <t>YM INCEPTION</t>
        </is>
      </c>
      <c r="C13" s="23" t="n">
        <v>564</v>
      </c>
      <c r="D13" s="44" t="n">
        <v>46303.54166666666</v>
      </c>
      <c r="E13" s="44" t="n">
        <v>46304.54166666666</v>
      </c>
      <c r="F13" s="44" t="n">
        <v>46306.04166666666</v>
      </c>
      <c r="G13" s="28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20C</t>
        </is>
      </c>
      <c r="B14" s="5" t="inlineStr">
        <is>
          <t>STARSHIP AQUILA</t>
        </is>
      </c>
      <c r="C14" s="23" t="n">
        <v>565</v>
      </c>
      <c r="D14" s="44" t="n">
        <v>46304.91666666666</v>
      </c>
      <c r="E14" s="44" t="n">
        <v>46306.16666666666</v>
      </c>
      <c r="F14" s="44" t="n">
        <v>46307.54166666666</v>
      </c>
      <c r="G14" s="28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44" t="n">
        <v>46302.54166666666</v>
      </c>
      <c r="E15" s="44" t="n">
        <v>46302.58333333334</v>
      </c>
      <c r="F15" s="44" t="n">
        <v>46304.08333333334</v>
      </c>
      <c r="G15" s="28">
        <f>(F15-E15)*24</f>
        <v/>
      </c>
      <c r="H15" s="23" t="inlineStr">
        <is>
          <t>–</t>
        </is>
      </c>
      <c r="I15" s="23" t="inlineStr"/>
    </row>
    <row r="16">
      <c r="A16" s="5" t="inlineStr">
        <is>
          <t>20D</t>
        </is>
      </c>
      <c r="B16" s="5" t="inlineStr">
        <is>
          <t>HE JIN</t>
        </is>
      </c>
      <c r="C16" s="23" t="n">
        <v>552</v>
      </c>
      <c r="D16" s="44" t="n">
        <v>46304.08333333334</v>
      </c>
      <c r="E16" s="44" t="n">
        <v>46304.08333333334</v>
      </c>
      <c r="F16" s="44" t="n">
        <v>46305.54166666666</v>
      </c>
      <c r="G16" s="28">
        <f>(F16-E16)*24</f>
        <v/>
      </c>
      <c r="H16" s="23" t="inlineStr">
        <is>
          <t>–</t>
        </is>
      </c>
      <c r="I16" s="23" t="inlineStr"/>
    </row>
    <row r="17">
      <c r="A17" s="5" t="inlineStr">
        <is>
          <t>20D</t>
        </is>
      </c>
      <c r="B17" s="5" t="inlineStr">
        <is>
          <t>CUL HAIPHONG</t>
        </is>
      </c>
      <c r="C17" s="23" t="n">
        <v>458</v>
      </c>
      <c r="D17" s="44" t="n">
        <v>46304.83333333334</v>
      </c>
      <c r="E17" s="44" t="n">
        <v>46305.66666666666</v>
      </c>
      <c r="F17" s="44" t="n">
        <v>46306.25</v>
      </c>
      <c r="G17" s="28">
        <f>(F17-E17)*24</f>
        <v/>
      </c>
      <c r="H17" s="23" t="inlineStr">
        <is>
          <t>4A</t>
        </is>
      </c>
      <c r="I17" s="23" t="inlineStr"/>
    </row>
    <row r="18">
      <c r="A18" s="5" t="inlineStr">
        <is>
          <t>20D</t>
        </is>
      </c>
      <c r="B18" s="5" t="inlineStr">
        <is>
          <t>INCEDA</t>
        </is>
      </c>
      <c r="C18" s="23" t="n">
        <v>564</v>
      </c>
      <c r="D18" s="44" t="n">
        <v>46305.70833333334</v>
      </c>
      <c r="E18" s="44" t="n">
        <v>46306.20833333334</v>
      </c>
      <c r="F18" s="44" t="n">
        <v>46307.58333333334</v>
      </c>
      <c r="G18" s="28">
        <f>(F18-E18)*24</f>
        <v/>
      </c>
      <c r="H18" s="23" t="inlineStr">
        <is>
          <t>–</t>
        </is>
      </c>
      <c r="I18" s="23" t="inlineStr"/>
    </row>
    <row r="19">
      <c r="A19" s="5" t="inlineStr">
        <is>
          <t>20F</t>
        </is>
      </c>
      <c r="B19" s="5" t="inlineStr">
        <is>
          <t>XIN AN</t>
        </is>
      </c>
      <c r="C19" s="23" t="n">
        <v>564</v>
      </c>
      <c r="D19" s="44" t="n">
        <v>46302.54166666666</v>
      </c>
      <c r="E19" s="44" t="n">
        <v>46302.58333333334</v>
      </c>
      <c r="F19" s="44" t="n">
        <v>46304.54166666666</v>
      </c>
      <c r="G19" s="28">
        <f>(F19-E19)*24</f>
        <v/>
      </c>
      <c r="H19" s="23" t="inlineStr">
        <is>
          <t>–</t>
        </is>
      </c>
      <c r="I19" s="23" t="inlineStr"/>
    </row>
    <row r="20">
      <c r="A20" s="5" t="inlineStr">
        <is>
          <t>20F</t>
        </is>
      </c>
      <c r="B20" s="5" t="inlineStr">
        <is>
          <t>SAWASDEE ATLANTIC</t>
        </is>
      </c>
      <c r="C20" s="23" t="n">
        <v>564</v>
      </c>
      <c r="D20" s="44" t="n">
        <v>46302.83333333334</v>
      </c>
      <c r="E20" s="44" t="n">
        <v>46304.625</v>
      </c>
      <c r="F20" s="44" t="n">
        <v>46306.125</v>
      </c>
      <c r="G20" s="28">
        <f>(F20-E20)*24</f>
        <v/>
      </c>
      <c r="H20" s="23" t="inlineStr">
        <is>
          <t>–</t>
        </is>
      </c>
      <c r="I20" s="23" t="inlineStr"/>
    </row>
    <row r="21">
      <c r="A21" s="5" t="inlineStr">
        <is>
          <t>20F</t>
        </is>
      </c>
      <c r="B21" s="5" t="inlineStr">
        <is>
          <t>XIN MING ZHOU 102</t>
        </is>
      </c>
      <c r="C21" s="23" t="n">
        <v>564</v>
      </c>
      <c r="D21" s="44" t="n">
        <v>46305.875</v>
      </c>
      <c r="E21" s="44" t="n">
        <v>46306.20833333334</v>
      </c>
      <c r="F21" s="44" t="n">
        <v>46307.08333333334</v>
      </c>
      <c r="G21" s="28">
        <f>(F21-E21)*24</f>
        <v/>
      </c>
      <c r="H21" s="23" t="inlineStr">
        <is>
          <t>–</t>
        </is>
      </c>
      <c r="I21" s="23" t="inlineStr"/>
    </row>
    <row r="22">
      <c r="A22" s="5" t="inlineStr">
        <is>
          <t>22A</t>
        </is>
      </c>
      <c r="B22" s="5" t="inlineStr">
        <is>
          <t>HE JIN</t>
        </is>
      </c>
      <c r="C22" s="23" t="n">
        <v>552</v>
      </c>
      <c r="D22" s="44" t="n">
        <v>46302.79166666666</v>
      </c>
      <c r="E22" s="44" t="n">
        <v>46303.66666666666</v>
      </c>
      <c r="F22" s="44" t="n">
        <v>46304.08333333334</v>
      </c>
      <c r="G22" s="28">
        <f>(F22-E22)*24</f>
        <v/>
      </c>
      <c r="H22" s="23" t="inlineStr">
        <is>
          <t>20D</t>
        </is>
      </c>
      <c r="I22" s="23" t="inlineStr"/>
    </row>
    <row r="25">
      <c r="A25" s="39" t="inlineStr">
        <is>
          <t>Berth &amp; gate notices on this sheet</t>
        </is>
      </c>
    </row>
    <row r="26">
      <c r="A26" s="3" t="inlineStr">
        <is>
          <t>Berth / Gate</t>
        </is>
      </c>
      <c r="B26" s="3" t="inlineStr">
        <is>
          <t>Type</t>
        </is>
      </c>
      <c r="C26" s="3" t="n"/>
      <c r="D26" s="3" t="inlineStr">
        <is>
          <t>From</t>
        </is>
      </c>
      <c r="E26" s="3" t="inlineStr">
        <is>
          <t>To</t>
        </is>
      </c>
      <c r="F26" s="3" t="inlineStr">
        <is>
          <t>Notice / change vs previous sheet</t>
        </is>
      </c>
      <c r="G26" s="40" t="n"/>
      <c r="H26" s="40" t="n"/>
      <c r="I26" s="41" t="n"/>
    </row>
    <row r="27" ht="42" customHeight="1">
      <c r="A27" s="16" t="inlineStr">
        <is>
          <t>20D</t>
        </is>
      </c>
      <c r="B27" s="16" t="inlineStr">
        <is>
          <t>Berth closed</t>
        </is>
      </c>
      <c r="C27" s="43" t="n"/>
      <c r="D27" s="45" t="n">
        <v>46299</v>
      </c>
      <c r="E27" s="45" t="n">
        <v>46319</v>
      </c>
      <c r="F27" s="16" t="inlineStr">
        <is>
          <t>Close on 4–24 Oct 2026 to renovate electric channel (MTT BANGKOK has been alongside at 20D since 07/14, HE JIN shifts in on 09/02)  —  Unchanged – conflicts with vessel bookings, please confirm</t>
        </is>
      </c>
      <c r="G27" s="40" t="n"/>
      <c r="H27" s="40" t="n"/>
      <c r="I27" s="41" t="n"/>
    </row>
    <row r="28" ht="42" customHeight="1">
      <c r="A28" s="9" t="inlineStr">
        <is>
          <t>20E / G.25</t>
        </is>
      </c>
      <c r="B28" s="9" t="inlineStr">
        <is>
          <t>Gate stopped</t>
        </is>
      </c>
      <c r="C28" s="42" t="n"/>
      <c r="D28" s="46" t="n">
        <v>46300</v>
      </c>
      <c r="E28" s="46" t="n">
        <v>46313</v>
      </c>
      <c r="F28" s="9" t="inlineStr">
        <is>
          <t>G.25 stops working 5–18 Oct 2026 to change trolley rail (in progress)  —  Unchanged</t>
        </is>
      </c>
      <c r="G28" s="40" t="n"/>
      <c r="H28" s="40" t="n"/>
      <c r="I28" s="41" t="n"/>
    </row>
  </sheetData>
  <mergeCells count="3">
    <mergeCell ref="F26:I26"/>
    <mergeCell ref="F27:I27"/>
    <mergeCell ref="F28:I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2026-10-08T04:03:15Z</dcterms:created>
  <dcterms:modified xmlns:dcterms="http://purl.org/dc/terms/" xmlns:xsi="http://www.w3.org/2001/XMLSchema-instance" xsi:type="dcterms:W3CDTF">2026-10-08T04:03:17Z</dcterms:modified>
</cp:coreProperties>
</file>