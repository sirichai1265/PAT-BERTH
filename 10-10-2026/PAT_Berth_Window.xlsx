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10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KANWAY FORTUNE</t>
        </is>
      </c>
      <c r="C4" s="23" t="n">
        <v>564</v>
      </c>
      <c r="D4" s="40" t="n">
        <v>46303.66666666666</v>
      </c>
      <c r="E4" s="40" t="n">
        <v>46304.58333333334</v>
      </c>
      <c r="F4" s="40" t="n">
        <v>46305.625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CNC MARS</t>
        </is>
      </c>
      <c r="C5" s="23" t="n">
        <v>564</v>
      </c>
      <c r="D5" s="40" t="n">
        <v>46304.91666666666</v>
      </c>
      <c r="E5" s="40" t="n">
        <v>46305.625</v>
      </c>
      <c r="F5" s="40" t="n">
        <v>46306.625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JOSCO SHINE</t>
        </is>
      </c>
      <c r="C6" s="23" t="n">
        <v>564</v>
      </c>
      <c r="D6" s="40" t="n">
        <v>46307.54166666666</v>
      </c>
      <c r="E6" s="40" t="n">
        <v>46307.66666666666</v>
      </c>
      <c r="F6" s="40" t="n">
        <v>46308.58333333334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20AB</t>
        </is>
      </c>
      <c r="B7" s="5" t="inlineStr">
        <is>
          <t>KHUNA BHUM</t>
        </is>
      </c>
      <c r="C7" s="23" t="n">
        <v>564</v>
      </c>
      <c r="D7" s="40" t="n">
        <v>46308.29166666666</v>
      </c>
      <c r="E7" s="40" t="n">
        <v>46308.54166666666</v>
      </c>
      <c r="F7" s="40" t="n">
        <v>46309.29166666666</v>
      </c>
      <c r="G7" s="24">
        <f>(E7-D7)*24</f>
        <v/>
      </c>
      <c r="H7" s="24">
        <f>(F7-E7)*24</f>
        <v/>
      </c>
      <c r="I7" s="23" t="inlineStr">
        <is>
          <t>7B</t>
        </is>
      </c>
      <c r="J7" s="23" t="inlineStr"/>
    </row>
    <row r="8">
      <c r="A8" s="5" t="inlineStr">
        <is>
          <t>20B</t>
        </is>
      </c>
      <c r="B8" s="5" t="inlineStr">
        <is>
          <t>INDURO</t>
        </is>
      </c>
      <c r="C8" s="23" t="n">
        <v>565</v>
      </c>
      <c r="D8" s="40" t="n">
        <v>46304.25</v>
      </c>
      <c r="E8" s="40" t="n">
        <v>46304.66666666666</v>
      </c>
      <c r="F8" s="40" t="n">
        <v>46306.16666666666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6" t="inlineStr">
        <is>
          <t>20B</t>
        </is>
      </c>
      <c r="B9" s="6" t="inlineStr">
        <is>
          <t>XIN MING ZHOU 102</t>
        </is>
      </c>
      <c r="C9" s="17" t="n">
        <v>564</v>
      </c>
      <c r="D9" s="41" t="n">
        <v>46305.875</v>
      </c>
      <c r="E9" s="41" t="n">
        <v>46306.20833333334</v>
      </c>
      <c r="F9" s="41" t="n">
        <v>46307.08333333334</v>
      </c>
      <c r="G9" s="26">
        <f>(E9-D9)*24</f>
        <v/>
      </c>
      <c r="H9" s="26">
        <f>(F9-E9)*24</f>
        <v/>
      </c>
      <c r="I9" s="17" t="inlineStr">
        <is>
          <t>–</t>
        </is>
      </c>
      <c r="J9" s="17" t="inlineStr">
        <is>
          <t>Yes</t>
        </is>
      </c>
    </row>
    <row r="10">
      <c r="A10" s="6" t="inlineStr">
        <is>
          <t>20B</t>
        </is>
      </c>
      <c r="B10" s="6" t="inlineStr">
        <is>
          <t>ALS SUMIRE</t>
        </is>
      </c>
      <c r="C10" s="17" t="n">
        <v>537</v>
      </c>
      <c r="D10" s="41" t="n">
        <v>46307.91666666666</v>
      </c>
      <c r="E10" s="41" t="n">
        <v>46308.25</v>
      </c>
      <c r="F10" s="41" t="n">
        <v>46309.25</v>
      </c>
      <c r="G10" s="26">
        <f>(E10-D10)*24</f>
        <v/>
      </c>
      <c r="H10" s="26">
        <f>(F10-E10)*24</f>
        <v/>
      </c>
      <c r="I10" s="17" t="inlineStr">
        <is>
          <t>1C</t>
        </is>
      </c>
      <c r="J10" s="17" t="inlineStr">
        <is>
          <t>Yes</t>
        </is>
      </c>
    </row>
    <row r="11">
      <c r="A11" s="6" t="inlineStr">
        <is>
          <t>20C</t>
        </is>
      </c>
      <c r="B11" s="6" t="inlineStr">
        <is>
          <t>YM INCEPTION</t>
        </is>
      </c>
      <c r="C11" s="17" t="n">
        <v>564</v>
      </c>
      <c r="D11" s="41" t="n">
        <v>46303.54166666666</v>
      </c>
      <c r="E11" s="41" t="n">
        <v>46304.54166666666</v>
      </c>
      <c r="F11" s="41" t="n">
        <v>46305.58333333334</v>
      </c>
      <c r="G11" s="26">
        <f>(E11-D11)*24</f>
        <v/>
      </c>
      <c r="H11" s="26">
        <f>(F11-E11)*24</f>
        <v/>
      </c>
      <c r="I11" s="17" t="inlineStr">
        <is>
          <t>–</t>
        </is>
      </c>
      <c r="J11" s="17" t="inlineStr">
        <is>
          <t>Yes</t>
        </is>
      </c>
    </row>
    <row r="12">
      <c r="A12" s="6" t="inlineStr">
        <is>
          <t>20C</t>
        </is>
      </c>
      <c r="B12" s="6" t="inlineStr">
        <is>
          <t>STARSHIP AQUILA</t>
        </is>
      </c>
      <c r="C12" s="17" t="n">
        <v>565</v>
      </c>
      <c r="D12" s="41" t="n">
        <v>46304.91666666666</v>
      </c>
      <c r="E12" s="41" t="n">
        <v>46305.58333333334</v>
      </c>
      <c r="F12" s="41" t="n">
        <v>46307.08333333334</v>
      </c>
      <c r="G12" s="26">
        <f>(E12-D12)*24</f>
        <v/>
      </c>
      <c r="H12" s="26">
        <f>(F12-E12)*24</f>
        <v/>
      </c>
      <c r="I12" s="17" t="inlineStr">
        <is>
          <t>–</t>
        </is>
      </c>
      <c r="J12" s="17" t="inlineStr">
        <is>
          <t>Yes</t>
        </is>
      </c>
    </row>
    <row r="13">
      <c r="A13" s="5" t="inlineStr">
        <is>
          <t>20C</t>
        </is>
      </c>
      <c r="B13" s="5" t="inlineStr">
        <is>
          <t>KMTC TAIPEIS</t>
        </is>
      </c>
      <c r="C13" s="23" t="n">
        <v>565</v>
      </c>
      <c r="D13" s="40" t="n">
        <v>46307.95833333334</v>
      </c>
      <c r="E13" s="40" t="n">
        <v>46308.20833333334</v>
      </c>
      <c r="F13" s="40" t="n">
        <v>46309.625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HE JIN</t>
        </is>
      </c>
      <c r="C14" s="23" t="n">
        <v>552</v>
      </c>
      <c r="D14" s="40" t="n">
        <v>46304</v>
      </c>
      <c r="E14" s="40" t="n">
        <v>46304</v>
      </c>
      <c r="F14" s="40" t="n">
        <v>46305.54166666666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20D</t>
        </is>
      </c>
      <c r="B15" s="5" t="inlineStr">
        <is>
          <t>CUL HAIPHONG</t>
        </is>
      </c>
      <c r="C15" s="23" t="n">
        <v>458</v>
      </c>
      <c r="D15" s="40" t="n">
        <v>46304.83333333334</v>
      </c>
      <c r="E15" s="40" t="n">
        <v>46305.66666666666</v>
      </c>
      <c r="F15" s="40" t="n">
        <v>46306.25</v>
      </c>
      <c r="G15" s="24">
        <f>(E15-D15)*24</f>
        <v/>
      </c>
      <c r="H15" s="24">
        <f>(F15-E15)*24</f>
        <v/>
      </c>
      <c r="I15" s="23" t="inlineStr">
        <is>
          <t>4A</t>
        </is>
      </c>
      <c r="J15" s="23" t="inlineStr"/>
    </row>
    <row r="16">
      <c r="A16" s="5" t="inlineStr">
        <is>
          <t>20D</t>
        </is>
      </c>
      <c r="B16" s="5" t="inlineStr">
        <is>
          <t>INCEDA</t>
        </is>
      </c>
      <c r="C16" s="23" t="n">
        <v>564</v>
      </c>
      <c r="D16" s="40" t="n">
        <v>46305.70833333334</v>
      </c>
      <c r="E16" s="40" t="n">
        <v>46306.20833333334</v>
      </c>
      <c r="F16" s="40" t="n">
        <v>46307.58333333334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20D</t>
        </is>
      </c>
      <c r="B17" s="5" t="inlineStr">
        <is>
          <t>SAWASDEE SUNRISE</t>
        </is>
      </c>
      <c r="C17" s="23" t="n">
        <v>564</v>
      </c>
      <c r="D17" s="40" t="n">
        <v>46307.375</v>
      </c>
      <c r="E17" s="40" t="n">
        <v>46307.66666666666</v>
      </c>
      <c r="F17" s="40" t="n">
        <v>46309.20833333334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SAWASDEE ATLANTIC</t>
        </is>
      </c>
      <c r="C18" s="23" t="n">
        <v>564</v>
      </c>
      <c r="D18" s="40" t="n">
        <v>46302.83333333334</v>
      </c>
      <c r="E18" s="40" t="n">
        <v>46304.625</v>
      </c>
      <c r="F18" s="40" t="n">
        <v>46306.54166666666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6" t="inlineStr">
        <is>
          <t>20F</t>
        </is>
      </c>
      <c r="B19" s="6" t="inlineStr">
        <is>
          <t>SAMAL</t>
        </is>
      </c>
      <c r="C19" s="17" t="n">
        <v>564</v>
      </c>
      <c r="D19" s="41" t="n">
        <v>46307.04166666666</v>
      </c>
      <c r="E19" s="41" t="n">
        <v>46307.25</v>
      </c>
      <c r="F19" s="41" t="n">
        <v>46308.58333333334</v>
      </c>
      <c r="G19" s="26">
        <f>(E19-D19)*24</f>
        <v/>
      </c>
      <c r="H19" s="26">
        <f>(F19-E19)*24</f>
        <v/>
      </c>
      <c r="I19" s="17" t="inlineStr">
        <is>
          <t>–</t>
        </is>
      </c>
      <c r="J19" s="17" t="inlineStr">
        <is>
          <t>Yes</t>
        </is>
      </c>
    </row>
    <row r="20">
      <c r="A20" s="6" t="inlineStr">
        <is>
          <t>20F</t>
        </is>
      </c>
      <c r="B20" s="6" t="inlineStr">
        <is>
          <t>WAN HAI 277</t>
        </is>
      </c>
      <c r="C20" s="17" t="n">
        <v>564</v>
      </c>
      <c r="D20" s="41" t="n">
        <v>46308.16666666666</v>
      </c>
      <c r="E20" s="41" t="n">
        <v>46308.66666666666</v>
      </c>
      <c r="F20" s="41" t="n">
        <v>46310.20833333334</v>
      </c>
      <c r="G20" s="26">
        <f>(E20-D20)*24</f>
        <v/>
      </c>
      <c r="H20" s="26">
        <f>(F20-E20)*24</f>
        <v/>
      </c>
      <c r="I20" s="17" t="inlineStr">
        <is>
          <t>–</t>
        </is>
      </c>
      <c r="J20" s="17" t="inlineStr">
        <is>
          <t>Yes</t>
        </is>
      </c>
    </row>
    <row r="23">
      <c r="A23" s="34" t="inlineStr">
        <is>
          <t>Berth &amp; gate notices on this sheet</t>
        </is>
      </c>
    </row>
    <row r="24">
      <c r="A24" s="3" t="inlineStr">
        <is>
          <t>Berth / Gate</t>
        </is>
      </c>
      <c r="B24" s="3" t="inlineStr">
        <is>
          <t>Type</t>
        </is>
      </c>
      <c r="C24" s="3" t="n"/>
      <c r="D24" s="3" t="inlineStr">
        <is>
          <t>From</t>
        </is>
      </c>
      <c r="E24" s="3" t="inlineStr">
        <is>
          <t>To</t>
        </is>
      </c>
      <c r="F24" s="3" t="inlineStr">
        <is>
          <t>Notice / change vs previous sheet</t>
        </is>
      </c>
      <c r="G24" s="35" t="n"/>
      <c r="H24" s="35" t="n"/>
      <c r="I24" s="35" t="n"/>
      <c r="J24" s="36" t="n"/>
    </row>
    <row r="25" ht="42" customHeight="1">
      <c r="A25" s="16" t="inlineStr">
        <is>
          <t>20D</t>
        </is>
      </c>
      <c r="B25" s="16" t="inlineStr">
        <is>
          <t>Berth closed</t>
        </is>
      </c>
      <c r="C25" s="38" t="n"/>
      <c r="D25" s="42" t="n">
        <v>46299</v>
      </c>
      <c r="E25" s="42" t="n">
        <v>46319</v>
      </c>
      <c r="F25" s="16" t="inlineStr">
        <is>
          <t>Close on 4–24 Oct 2026 to renovate electric channel (HE JIN is alongside at 20D; other vessels are booked from 10/16)  —  Unchanged – conflicts with vessel bookings, please confirm</t>
        </is>
      </c>
      <c r="G25" s="35" t="n"/>
      <c r="H25" s="35" t="n"/>
      <c r="I25" s="35" t="n"/>
      <c r="J25" s="36" t="n"/>
    </row>
    <row r="26" ht="42" customHeight="1">
      <c r="A26" s="16" t="inlineStr">
        <is>
          <t>20E / G.25</t>
        </is>
      </c>
      <c r="B26" s="16" t="inlineStr">
        <is>
          <t>Gate stopped</t>
        </is>
      </c>
      <c r="C26" s="38" t="n"/>
      <c r="D26" s="42" t="n">
        <v>46300</v>
      </c>
      <c r="E26" s="42" t="n">
        <v>46313</v>
      </c>
      <c r="F26" s="16" t="inlineStr">
        <is>
          <t>G.25 stops working 5–18 Oct 2026 to change trolley rail (in progress)  —  Unchanged</t>
        </is>
      </c>
      <c r="G26" s="35" t="n"/>
      <c r="H26" s="35" t="n"/>
      <c r="I26" s="35" t="n"/>
      <c r="J26" s="36" t="n"/>
    </row>
  </sheetData>
  <mergeCells count="3">
    <mergeCell ref="F24:J24"/>
    <mergeCell ref="F25:J25"/>
    <mergeCell ref="F26:J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2026-10-24T06:01:24Z</dcterms:created>
  <dcterms:modified xmlns:dcterms="http://purl.org/dc/terms/" xmlns:xsi="http://www.w3.org/2001/XMLSchema-instance" xsi:type="dcterms:W3CDTF">2026-10-24T06:01:30Z</dcterms:modified>
</cp:coreProperties>
</file>